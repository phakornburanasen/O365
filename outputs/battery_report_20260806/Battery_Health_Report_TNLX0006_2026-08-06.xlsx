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inetpub\wwwroot\O365\outputs\battery_report_20260806\"/>
    </mc:Choice>
  </mc:AlternateContent>
  <xr:revisionPtr revIDLastSave="0" documentId="13_ncr:1_{CF4EF844-D9B6-4941-B940-2F9619853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Capacity History" sheetId="2" r:id="rId2"/>
    <sheet name="Source &amp; Notes" sheetId="3" r:id="rId3"/>
  </sheets>
  <calcPr calcId="191029"/>
</workbook>
</file>

<file path=xl/calcChain.xml><?xml version="1.0" encoding="utf-8"?>
<calcChain xmlns="http://schemas.openxmlformats.org/spreadsheetml/2006/main">
  <c r="D115" i="2" l="1"/>
  <c r="E115" i="2" s="1"/>
  <c r="D114" i="2"/>
  <c r="E114" i="2" s="1"/>
  <c r="D113" i="2"/>
  <c r="E113" i="2" s="1"/>
  <c r="D112" i="2"/>
  <c r="E112" i="2" s="1"/>
  <c r="D111" i="2"/>
  <c r="E111" i="2" s="1"/>
  <c r="D110" i="2"/>
  <c r="E110" i="2" s="1"/>
  <c r="D109" i="2"/>
  <c r="E109" i="2" s="1"/>
  <c r="D108" i="2"/>
  <c r="E108" i="2" s="1"/>
  <c r="D107" i="2"/>
  <c r="E107" i="2" s="1"/>
  <c r="D106" i="2"/>
  <c r="E106" i="2" s="1"/>
  <c r="D105" i="2"/>
  <c r="E105" i="2" s="1"/>
  <c r="E104" i="2"/>
  <c r="D104" i="2"/>
  <c r="D103" i="2"/>
  <c r="E103" i="2" s="1"/>
  <c r="D102" i="2"/>
  <c r="E102" i="2" s="1"/>
  <c r="D101" i="2"/>
  <c r="E101" i="2" s="1"/>
  <c r="D100" i="2"/>
  <c r="E100" i="2" s="1"/>
  <c r="D99" i="2"/>
  <c r="E99" i="2" s="1"/>
  <c r="E98" i="2"/>
  <c r="D98" i="2"/>
  <c r="D97" i="2"/>
  <c r="E97" i="2" s="1"/>
  <c r="D96" i="2"/>
  <c r="E96" i="2" s="1"/>
  <c r="D95" i="2"/>
  <c r="E95" i="2" s="1"/>
  <c r="D94" i="2"/>
  <c r="E94" i="2" s="1"/>
  <c r="D93" i="2"/>
  <c r="E93" i="2" s="1"/>
  <c r="E92" i="2"/>
  <c r="D92" i="2"/>
  <c r="D91" i="2"/>
  <c r="E91" i="2" s="1"/>
  <c r="D90" i="2"/>
  <c r="E90" i="2" s="1"/>
  <c r="D89" i="2"/>
  <c r="E89" i="2" s="1"/>
  <c r="D88" i="2"/>
  <c r="E88" i="2" s="1"/>
  <c r="D87" i="2"/>
  <c r="E87" i="2" s="1"/>
  <c r="E86" i="2"/>
  <c r="D86" i="2"/>
  <c r="D85" i="2"/>
  <c r="E85" i="2" s="1"/>
  <c r="D84" i="2"/>
  <c r="E84" i="2" s="1"/>
  <c r="D83" i="2"/>
  <c r="E83" i="2" s="1"/>
  <c r="D82" i="2"/>
  <c r="E82" i="2" s="1"/>
  <c r="D81" i="2"/>
  <c r="E81" i="2" s="1"/>
  <c r="E80" i="2"/>
  <c r="D80" i="2"/>
  <c r="D79" i="2"/>
  <c r="E79" i="2" s="1"/>
  <c r="D78" i="2"/>
  <c r="E78" i="2" s="1"/>
  <c r="D77" i="2"/>
  <c r="E77" i="2" s="1"/>
  <c r="D76" i="2"/>
  <c r="E76" i="2" s="1"/>
  <c r="D75" i="2"/>
  <c r="E75" i="2" s="1"/>
  <c r="E74" i="2"/>
  <c r="D74" i="2"/>
  <c r="D73" i="2"/>
  <c r="E73" i="2" s="1"/>
  <c r="D72" i="2"/>
  <c r="E72" i="2" s="1"/>
  <c r="D71" i="2"/>
  <c r="E71" i="2" s="1"/>
  <c r="D70" i="2"/>
  <c r="E70" i="2" s="1"/>
  <c r="D69" i="2"/>
  <c r="E69" i="2" s="1"/>
  <c r="E68" i="2"/>
  <c r="D68" i="2"/>
  <c r="D67" i="2"/>
  <c r="E67" i="2" s="1"/>
  <c r="D66" i="2"/>
  <c r="E66" i="2" s="1"/>
  <c r="D65" i="2"/>
  <c r="E65" i="2" s="1"/>
  <c r="D64" i="2"/>
  <c r="E64" i="2" s="1"/>
  <c r="D63" i="2"/>
  <c r="E63" i="2" s="1"/>
  <c r="E62" i="2"/>
  <c r="D62" i="2"/>
  <c r="D61" i="2"/>
  <c r="E61" i="2" s="1"/>
  <c r="D60" i="2"/>
  <c r="E60" i="2" s="1"/>
  <c r="D59" i="2"/>
  <c r="E59" i="2" s="1"/>
  <c r="D58" i="2"/>
  <c r="E58" i="2" s="1"/>
  <c r="D57" i="2"/>
  <c r="E57" i="2" s="1"/>
  <c r="E56" i="2"/>
  <c r="D56" i="2"/>
  <c r="D55" i="2"/>
  <c r="E55" i="2" s="1"/>
  <c r="D54" i="2"/>
  <c r="E54" i="2" s="1"/>
  <c r="D53" i="2"/>
  <c r="E53" i="2" s="1"/>
  <c r="D52" i="2"/>
  <c r="E52" i="2" s="1"/>
  <c r="D51" i="2"/>
  <c r="E51" i="2" s="1"/>
  <c r="E50" i="2"/>
  <c r="D50" i="2"/>
  <c r="D49" i="2"/>
  <c r="E49" i="2" s="1"/>
  <c r="D48" i="2"/>
  <c r="E48" i="2" s="1"/>
  <c r="D47" i="2"/>
  <c r="E47" i="2" s="1"/>
  <c r="D46" i="2"/>
  <c r="E46" i="2" s="1"/>
  <c r="D45" i="2"/>
  <c r="E45" i="2" s="1"/>
  <c r="E44" i="2"/>
  <c r="D44" i="2"/>
  <c r="D43" i="2"/>
  <c r="E43" i="2" s="1"/>
  <c r="D42" i="2"/>
  <c r="E42" i="2" s="1"/>
  <c r="D41" i="2"/>
  <c r="E41" i="2" s="1"/>
  <c r="D40" i="2"/>
  <c r="E40" i="2" s="1"/>
  <c r="D39" i="2"/>
  <c r="E39" i="2" s="1"/>
  <c r="E38" i="2"/>
  <c r="D38" i="2"/>
  <c r="D37" i="2"/>
  <c r="E37" i="2" s="1"/>
  <c r="D36" i="2"/>
  <c r="E36" i="2" s="1"/>
  <c r="D35" i="2"/>
  <c r="E35" i="2" s="1"/>
  <c r="D34" i="2"/>
  <c r="E34" i="2" s="1"/>
  <c r="D33" i="2"/>
  <c r="E33" i="2" s="1"/>
  <c r="E32" i="2"/>
  <c r="D32" i="2"/>
  <c r="D31" i="2"/>
  <c r="E31" i="2" s="1"/>
  <c r="D30" i="2"/>
  <c r="E30" i="2" s="1"/>
  <c r="D29" i="2"/>
  <c r="E29" i="2" s="1"/>
  <c r="D28" i="2"/>
  <c r="E28" i="2" s="1"/>
  <c r="D27" i="2"/>
  <c r="E27" i="2" s="1"/>
  <c r="E26" i="2"/>
  <c r="D26" i="2"/>
  <c r="D25" i="2"/>
  <c r="E25" i="2" s="1"/>
  <c r="D24" i="2"/>
  <c r="E24" i="2" s="1"/>
  <c r="D23" i="2"/>
  <c r="E23" i="2" s="1"/>
  <c r="D22" i="2"/>
  <c r="E22" i="2" s="1"/>
  <c r="D21" i="2"/>
  <c r="E21" i="2" s="1"/>
  <c r="E20" i="2"/>
  <c r="D20" i="2"/>
  <c r="D19" i="2"/>
  <c r="E19" i="2" s="1"/>
  <c r="D18" i="2"/>
  <c r="E18" i="2" s="1"/>
  <c r="D17" i="2"/>
  <c r="E17" i="2" s="1"/>
  <c r="D16" i="2"/>
  <c r="E16" i="2" s="1"/>
  <c r="D15" i="2"/>
  <c r="E15" i="2" s="1"/>
  <c r="E14" i="2"/>
  <c r="D14" i="2"/>
  <c r="D13" i="2"/>
  <c r="E13" i="2" s="1"/>
  <c r="D12" i="2"/>
  <c r="E12" i="2" s="1"/>
  <c r="D11" i="2"/>
  <c r="E11" i="2" s="1"/>
  <c r="D10" i="2"/>
  <c r="E10" i="2" s="1"/>
  <c r="D9" i="2"/>
  <c r="E9" i="2" s="1"/>
  <c r="E8" i="2"/>
  <c r="D8" i="2"/>
  <c r="D7" i="2"/>
  <c r="E7" i="2" s="1"/>
  <c r="D6" i="2"/>
  <c r="E6" i="2" s="1"/>
  <c r="D5" i="2"/>
  <c r="E5" i="2" s="1"/>
  <c r="D4" i="2"/>
  <c r="E4" i="2" s="1"/>
  <c r="D3" i="2"/>
  <c r="E3" i="2" s="1"/>
  <c r="E2" i="2"/>
  <c r="D2" i="2"/>
  <c r="G6" i="1"/>
  <c r="C6" i="1"/>
  <c r="A6" i="1"/>
  <c r="A10" i="1" s="1"/>
  <c r="E6" i="1" l="1"/>
</calcChain>
</file>

<file path=xl/sharedStrings.xml><?xml version="1.0" encoding="utf-8"?>
<sst xmlns="http://schemas.openxmlformats.org/spreadsheetml/2006/main" count="262" uniqueCount="167">
  <si>
    <t>Battery Health Report - TNLX0006</t>
  </si>
  <si>
    <t>Acer Nitro AN515-58 | Report time: 2026-08-06 16:33:43</t>
  </si>
  <si>
    <t>Current battery health</t>
  </si>
  <si>
    <t>Latest history health</t>
  </si>
  <si>
    <t>Current capacity loss</t>
  </si>
  <si>
    <t>Replacement threshold</t>
  </si>
  <si>
    <t>คำแนะนำ</t>
  </si>
  <si>
    <t>สรุปการประเมิน</t>
  </si>
  <si>
    <t>• Full Charge Capacity ปัจจุบัน 48,464 mWh จาก Design Capacity 58,751 mWh
• สุขภาพจากค่าปัจจุบัน 82.5% และเสื่อม 17.5%
• Capacity history ล่าสุด 46,600 mWh หรือ 79.3% ซึ่งต่ำกว่าเกณฑ์ 80% เล็กน้อย
• ค่ายังแกว่งระหว่างค่าปัจจุบันกับ history จึงยังไม่จำเป็นต้องเปลี่ยนแบบเร่งด่วน แต่ควรวางแผนเปลี่ยนและรัน powercfg /batteryreport ตรวจซ้ำหลังชาร์จเต็ม
• หากใช้งานได้สั้นผิดปกติ ดับเอง ชาร์จไม่เข้า หรือแบตบวม ควรหยุดใช้งานแบตและเปลี่ยนทันที</t>
  </si>
  <si>
    <t>Period</t>
  </si>
  <si>
    <t>Full Charge Capacity (mWh)</t>
  </si>
  <si>
    <t>Design Capacity (mWh)</t>
  </si>
  <si>
    <t>Battery Health</t>
  </si>
  <si>
    <t>Capacity Loss</t>
  </si>
  <si>
    <t>2023-10-18 - 2023-10-26</t>
  </si>
  <si>
    <t>2023-10-26 - 2023-11-08</t>
  </si>
  <si>
    <t>2023-11-08 - 2023-11-14</t>
  </si>
  <si>
    <t>2023-11-14 - 2023-11-20</t>
  </si>
  <si>
    <t>2023-11-20 - 2023-11-27</t>
  </si>
  <si>
    <t>2023-11-27 - 2023-12-04</t>
  </si>
  <si>
    <t>2023-12-04 - 2023-12-13</t>
  </si>
  <si>
    <t>2023-12-13 - 2023-12-18</t>
  </si>
  <si>
    <t>2023-12-18 - 2023-12-28</t>
  </si>
  <si>
    <t>2023-12-28 - 2024-01-01</t>
  </si>
  <si>
    <t>2024-01-01 - 2024-01-08</t>
  </si>
  <si>
    <t>2024-01-08 - 2024-01-24</t>
  </si>
  <si>
    <t>2024-01-24 - 2024-02-07</t>
  </si>
  <si>
    <t>2024-02-07 - 2024-02-12</t>
  </si>
  <si>
    <t>2024-02-12 - 2024-03-04</t>
  </si>
  <si>
    <t>2024-03-04 - 2024-03-18</t>
  </si>
  <si>
    <t>2024-03-18 - 2024-03-25</t>
  </si>
  <si>
    <t>2024-03-25 - 2024-04-08</t>
  </si>
  <si>
    <t>2024-04-08 - 2024-04-23</t>
  </si>
  <si>
    <t>2024-04-23 - 2024-04-29</t>
  </si>
  <si>
    <t>2024-04-29 - 2024-05-06</t>
  </si>
  <si>
    <t>2024-05-06 - 2024-05-13</t>
  </si>
  <si>
    <t>2024-05-13 - 2024-05-20</t>
  </si>
  <si>
    <t>2024-05-20 - 2024-05-28</t>
  </si>
  <si>
    <t>2024-05-28 - 2024-06-05</t>
  </si>
  <si>
    <t>2024-06-05 - 2024-06-17</t>
  </si>
  <si>
    <t>2024-06-17 - 2024-06-24</t>
  </si>
  <si>
    <t>2024-06-24 - 2024-07-02</t>
  </si>
  <si>
    <t>2024-07-02 - 2024-07-08</t>
  </si>
  <si>
    <t>2024-07-08 - 2024-07-15</t>
  </si>
  <si>
    <t>2024-07-15 - 2024-07-22</t>
  </si>
  <si>
    <t>2024-07-22 - 2024-07-30</t>
  </si>
  <si>
    <t>2024-07-30 - 2024-08-06</t>
  </si>
  <si>
    <t>2024-08-06 - 2024-08-13</t>
  </si>
  <si>
    <t>2024-08-13 - 2024-08-19</t>
  </si>
  <si>
    <t>2024-08-19 - 2024-08-26</t>
  </si>
  <si>
    <t>2024-08-26 - 2024-09-02</t>
  </si>
  <si>
    <t>2024-09-02 - 2024-09-16</t>
  </si>
  <si>
    <t>2024-09-16 - 2024-09-25</t>
  </si>
  <si>
    <t>2024-09-25 - 2024-10-01</t>
  </si>
  <si>
    <t>2024-10-01 - 2024-10-08</t>
  </si>
  <si>
    <t>2024-10-08 - 2024-11-11</t>
  </si>
  <si>
    <t>2024-11-11 - 2024-11-25</t>
  </si>
  <si>
    <t>2024-11-25 - 2024-12-04</t>
  </si>
  <si>
    <t>2024-12-04 - 2024-12-10</t>
  </si>
  <si>
    <t>2024-12-10 - 2024-12-26</t>
  </si>
  <si>
    <t>2024-12-26 - 2025-01-07</t>
  </si>
  <si>
    <t>2025-01-07 - 2025-01-27</t>
  </si>
  <si>
    <t>2025-01-27 - 2025-02-05</t>
  </si>
  <si>
    <t>2025-02-05 - 2025-02-11</t>
  </si>
  <si>
    <t>2025-02-11 - 2025-02-20</t>
  </si>
  <si>
    <t>2025-02-20 - 2025-02-24</t>
  </si>
  <si>
    <t>2025-02-24 - 2025-03-05</t>
  </si>
  <si>
    <t>2025-03-05 - 2025-03-12</t>
  </si>
  <si>
    <t>2025-03-12 - 2025-03-17</t>
  </si>
  <si>
    <t>2025-03-17 - 2025-04-03</t>
  </si>
  <si>
    <t>2025-04-03 - 2025-04-09</t>
  </si>
  <si>
    <t>2025-04-09 - 2025-04-18</t>
  </si>
  <si>
    <t>2025-04-18 - 2025-05-05</t>
  </si>
  <si>
    <t>2025-05-05 - 2025-05-14</t>
  </si>
  <si>
    <t>2025-05-14 - 2025-05-23</t>
  </si>
  <si>
    <t>2025-05-23 - 2025-05-28</t>
  </si>
  <si>
    <t>2025-05-28 - 2025-06-23</t>
  </si>
  <si>
    <t>2025-06-23 - 2025-07-02</t>
  </si>
  <si>
    <t>2025-07-02 - 2025-07-07</t>
  </si>
  <si>
    <t>2025-07-07 - 2025-07-15</t>
  </si>
  <si>
    <t>2025-07-15 - 2025-08-25</t>
  </si>
  <si>
    <t>2025-08-25 - 2025-09-02</t>
  </si>
  <si>
    <t>2025-09-02 - 2025-09-12</t>
  </si>
  <si>
    <t>2025-09-12 - 2025-09-18</t>
  </si>
  <si>
    <t>2025-09-18 - 2025-10-08</t>
  </si>
  <si>
    <t>2025-10-08 - 2025-10-14</t>
  </si>
  <si>
    <t>2025-10-14 - 2025-10-29</t>
  </si>
  <si>
    <t>2025-10-29 - 2025-11-04</t>
  </si>
  <si>
    <t>2025-11-04 - 2025-11-20</t>
  </si>
  <si>
    <t>2025-11-20 - 2025-11-24</t>
  </si>
  <si>
    <t>2025-12-23 - 2026-01-13</t>
  </si>
  <si>
    <t>2026-01-13 - 2026-01-20</t>
  </si>
  <si>
    <t>2026-01-20 - 2026-01-27</t>
  </si>
  <si>
    <t>2026-01-27 - 2026-02-03</t>
  </si>
  <si>
    <t>2026-02-03 - 2026-02-10</t>
  </si>
  <si>
    <t>2026-02-10 - 2026-02-17</t>
  </si>
  <si>
    <t>2026-02-17 - 2026-02-24</t>
  </si>
  <si>
    <t>2026-02-24 - 2026-03-03</t>
  </si>
  <si>
    <t>2026-03-03 - 2026-03-10</t>
  </si>
  <si>
    <t>2026-03-10 - 2026-03-17</t>
  </si>
  <si>
    <t>2026-03-17 - 2026-03-24</t>
  </si>
  <si>
    <t>2026-03-24 - 2026-03-31</t>
  </si>
  <si>
    <t>2026-03-31 - 2026-04-07</t>
  </si>
  <si>
    <t>2026-04-07 - 2026-04-14</t>
  </si>
  <si>
    <t>2026-04-14 - 2026-04-21</t>
  </si>
  <si>
    <t>2026-04-21 - 2026-04-28</t>
  </si>
  <si>
    <t>2026-04-28 - 2026-05-05</t>
  </si>
  <si>
    <t>2026-05-05 - 2026-05-12</t>
  </si>
  <si>
    <t>2026-05-12 - 2026-05-19</t>
  </si>
  <si>
    <t>2026-05-19 - 2026-05-26</t>
  </si>
  <si>
    <t>2026-05-26 - 2026-06-02</t>
  </si>
  <si>
    <t>2026-06-02 - 2026-06-09</t>
  </si>
  <si>
    <t>2026-06-09 - 2026-06-16</t>
  </si>
  <si>
    <t>2026-06-16 - 2026-06-23</t>
  </si>
  <si>
    <t>2026-06-23 - 2026-06-30</t>
  </si>
  <si>
    <t>2026-06-30 - 2026-07-07</t>
  </si>
  <si>
    <t>2026-07-07 - 2026-07-14</t>
  </si>
  <si>
    <t>2026-07-14 - 2026-07-21</t>
  </si>
  <si>
    <t>2026-07-21 - 2026-07-28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</si>
  <si>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</si>
  <si>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</si>
  <si>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</si>
  <si>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</si>
  <si>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</si>
  <si>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</si>
  <si>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</si>
  <si>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</si>
  <si>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</si>
  <si>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Source Data &amp; Assumptions</t>
  </si>
  <si>
    <t>ข้อมูลเครื่อง</t>
  </si>
  <si>
    <t>Computer name</t>
  </si>
  <si>
    <t>TNLX0006</t>
  </si>
  <si>
    <t>System product name</t>
  </si>
  <si>
    <t>Acer Nitro AN515-58</t>
  </si>
  <si>
    <t>BIOS</t>
  </si>
  <si>
    <t>V1.11 08/08/2022</t>
  </si>
  <si>
    <t>OS build</t>
  </si>
  <si>
    <t>22621.1.amd64fre.ni_release.220506-1250</t>
  </si>
  <si>
    <t>Report time</t>
  </si>
  <si>
    <t>2026-08-06 16:33:43</t>
  </si>
  <si>
    <t>ข้อมูลแบตเตอรี่</t>
  </si>
  <si>
    <t>Battery name</t>
  </si>
  <si>
    <t>AP18E7M</t>
  </si>
  <si>
    <t>Manufacturer</t>
  </si>
  <si>
    <t>SMP</t>
  </si>
  <si>
    <t>Serial number</t>
  </si>
  <si>
    <t>3011</t>
  </si>
  <si>
    <t>Chemistry</t>
  </si>
  <si>
    <t>Li-I</t>
  </si>
  <si>
    <t>Design capacity (mWh)</t>
  </si>
  <si>
    <t>Full charge capacity (mWh)</t>
  </si>
  <si>
    <t>Cycle count</t>
  </si>
  <si>
    <t>-</t>
  </si>
  <si>
    <t>เกณฑ์วิเคราะห์</t>
  </si>
  <si>
    <t>Source file</t>
  </si>
  <si>
    <t>E:/battery-report.html</t>
  </si>
  <si>
    <t>Initial history capacity</t>
  </si>
  <si>
    <t>Latest history capacity</t>
  </si>
  <si>
    <t>Since OS install active estimate</t>
  </si>
  <si>
    <t>9:07:17</t>
  </si>
  <si>
    <t>At design capacity estimate</t>
  </si>
  <si>
    <t>11:03:28</t>
  </si>
  <si>
    <t>รหัสทรัพสิน</t>
  </si>
  <si>
    <t>รายละเอียด</t>
  </si>
  <si>
    <t>วันที่ซื้อ</t>
  </si>
  <si>
    <t>มูลค่าปัจจุบัน</t>
  </si>
  <si>
    <t>Notebook Acer Nitro V15 S/N : NHQFKST002246017AE3400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</si>
</sst>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b/>
      <sz val="11"/>
      <color rgb="FF17365D"/>
      <name val="Carlito"/>
    </font>
    <font>
      <b/>
      <sz val="22"/>
      <color rgb="FF17365D"/>
      <name val="Carlito"/>
    </font>
    <font>
      <b/>
      <sz val="12"/>
      <color rgb="FFFFFFFF"/>
      <name val="Carlito"/>
    </font>
    <font>
      <b/>
      <sz val="18"/>
      <color rgb="FF9C6500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0"/>
      <color rgb="FF1F2937"/>
      <name val="Carlito"/>
    </font>
    <font>
      <b/>
      <sz val="11"/>
      <color rgb="FF9C65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4F7FA"/>
      </patternFill>
    </fill>
  </fills>
  <borders count="20">
    <border>
      <left/>
      <right/>
      <top/>
      <bottom/>
      <diagonal/>
    </border>
    <border>
      <left style="medium">
        <color rgb="FFD6B656"/>
      </left>
      <right/>
      <top style="medium">
        <color rgb="FFD6B656"/>
      </top>
      <bottom/>
      <diagonal/>
    </border>
    <border>
      <left/>
      <right/>
      <top style="medium">
        <color rgb="FFD6B656"/>
      </top>
      <bottom/>
      <diagonal/>
    </border>
    <border>
      <left/>
      <right style="medium">
        <color rgb="FFD6B656"/>
      </right>
      <top style="medium">
        <color rgb="FFD6B656"/>
      </top>
      <bottom/>
      <diagonal/>
    </border>
    <border>
      <left style="medium">
        <color rgb="FFD6B656"/>
      </left>
      <right/>
      <top/>
      <bottom/>
      <diagonal/>
    </border>
    <border>
      <left/>
      <right style="medium">
        <color rgb="FFD6B656"/>
      </right>
      <top/>
      <bottom/>
      <diagonal/>
    </border>
    <border>
      <left style="medium">
        <color rgb="FFD6B656"/>
      </left>
      <right/>
      <top/>
      <bottom style="medium">
        <color rgb="FFD6B656"/>
      </bottom>
      <diagonal/>
    </border>
    <border>
      <left/>
      <right/>
      <top/>
      <bottom style="medium">
        <color rgb="FFD6B656"/>
      </bottom>
      <diagonal/>
    </border>
    <border>
      <left/>
      <right style="medium">
        <color rgb="FFD6B656"/>
      </right>
      <top/>
      <bottom style="medium">
        <color rgb="FFD6B656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7" borderId="0" xfId="0" applyFont="1" applyFill="1" applyAlignment="1">
      <alignment vertical="center" wrapText="1"/>
    </xf>
    <xf numFmtId="3" fontId="0" fillId="0" borderId="0" xfId="0" applyNumberFormat="1"/>
    <xf numFmtId="0" fontId="9" fillId="0" borderId="17" xfId="0" applyFont="1" applyBorder="1"/>
    <xf numFmtId="3" fontId="9" fillId="0" borderId="17" xfId="0" applyNumberFormat="1" applyFont="1" applyBorder="1"/>
    <xf numFmtId="164" fontId="9" fillId="0" borderId="17" xfId="0" applyNumberFormat="1" applyFont="1" applyBorder="1"/>
    <xf numFmtId="0" fontId="9" fillId="0" borderId="18" xfId="0" applyFont="1" applyBorder="1"/>
    <xf numFmtId="3" fontId="9" fillId="0" borderId="18" xfId="0" applyNumberFormat="1" applyFont="1" applyBorder="1"/>
    <xf numFmtId="164" fontId="9" fillId="0" borderId="18" xfId="0" applyNumberFormat="1" applyFont="1" applyBorder="1"/>
    <xf numFmtId="0" fontId="9" fillId="0" borderId="19" xfId="0" applyFont="1" applyBorder="1"/>
    <xf numFmtId="3" fontId="9" fillId="0" borderId="19" xfId="0" applyNumberFormat="1" applyFont="1" applyBorder="1"/>
    <xf numFmtId="164" fontId="9" fillId="0" borderId="19" xfId="0" applyNumberFormat="1" applyFont="1" applyBorder="1"/>
    <xf numFmtId="0" fontId="7" fillId="7" borderId="17" xfId="0" applyFont="1" applyFill="1" applyBorder="1"/>
    <xf numFmtId="0" fontId="0" fillId="0" borderId="18" xfId="0" applyBorder="1"/>
    <xf numFmtId="0" fontId="7" fillId="7" borderId="18" xfId="0" applyFont="1" applyFill="1" applyBorder="1"/>
    <xf numFmtId="0" fontId="0" fillId="0" borderId="19" xfId="0" applyBorder="1"/>
    <xf numFmtId="0" fontId="3" fillId="0" borderId="18" xfId="0" applyFont="1" applyBorder="1"/>
    <xf numFmtId="0" fontId="3" fillId="0" borderId="19" xfId="0" applyFont="1" applyBorder="1"/>
    <xf numFmtId="3" fontId="0" fillId="0" borderId="18" xfId="0" applyNumberFormat="1" applyBorder="1"/>
    <xf numFmtId="164" fontId="10" fillId="5" borderId="18" xfId="0" applyNumberFormat="1" applyFont="1" applyFill="1" applyBorder="1"/>
    <xf numFmtId="0" fontId="0" fillId="0" borderId="18" xfId="0" applyBorder="1" applyAlignment="1">
      <alignment wrapText="1"/>
    </xf>
    <xf numFmtId="3" fontId="0" fillId="0" borderId="18" xfId="0" applyNumberFormat="1" applyBorder="1" applyAlignment="1">
      <alignment wrapText="1"/>
    </xf>
    <xf numFmtId="0" fontId="0" fillId="0" borderId="19" xfId="0" applyBorder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0" fontId="5" fillId="7" borderId="0" xfId="0" applyFont="1" applyFill="1"/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7" borderId="0" xfId="0" applyFont="1" applyFill="1"/>
    <xf numFmtId="0" fontId="8" fillId="8" borderId="9" xfId="0" applyFont="1" applyFill="1" applyBorder="1" applyAlignment="1">
      <alignment vertical="top" wrapText="1"/>
    </xf>
    <xf numFmtId="0" fontId="8" fillId="8" borderId="10" xfId="0" applyFont="1" applyFill="1" applyBorder="1" applyAlignment="1">
      <alignment vertical="top" wrapText="1"/>
    </xf>
    <xf numFmtId="0" fontId="8" fillId="8" borderId="11" xfId="0" applyFont="1" applyFill="1" applyBorder="1" applyAlignment="1">
      <alignment vertical="top" wrapText="1"/>
    </xf>
    <xf numFmtId="0" fontId="8" fillId="8" borderId="12" xfId="0" applyFont="1" applyFill="1" applyBorder="1" applyAlignment="1">
      <alignment vertical="top" wrapText="1"/>
    </xf>
    <xf numFmtId="0" fontId="8" fillId="8" borderId="0" xfId="0" applyFont="1" applyFill="1" applyAlignment="1">
      <alignment vertical="top" wrapText="1"/>
    </xf>
    <xf numFmtId="0" fontId="8" fillId="8" borderId="13" xfId="0" applyFont="1" applyFill="1" applyBorder="1" applyAlignment="1">
      <alignment vertical="top" wrapText="1"/>
    </xf>
    <xf numFmtId="0" fontId="8" fillId="8" borderId="14" xfId="0" applyFont="1" applyFill="1" applyBorder="1" applyAlignment="1">
      <alignment vertical="top" wrapText="1"/>
    </xf>
    <xf numFmtId="0" fontId="8" fillId="8" borderId="15" xfId="0" applyFont="1" applyFill="1" applyBorder="1" applyAlignment="1">
      <alignment vertical="top" wrapText="1"/>
    </xf>
    <xf numFmtId="0" fontId="8" fillId="8" borderId="16" xfId="0" applyFont="1" applyFill="1" applyBorder="1" applyAlignment="1">
      <alignment vertical="top" wrapText="1"/>
    </xf>
    <xf numFmtId="1" fontId="0" fillId="0" borderId="0" xfId="0" applyNumberFormat="1"/>
    <xf numFmtId="14" fontId="0" fillId="0" borderId="0" xfId="0" applyNumberFormat="1"/>
    <xf numFmtId="0" fontId="8" fillId="8" borderId="0" xfId="0" applyFont="1" applyFill="1" applyBorder="1" applyAlignment="1">
      <alignment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Battery capacity trend (mWh)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Full Charge Capacity (mWh)</c:v>
          </c:tx>
          <c:marker>
            <c:symbol val="none"/>
          </c:marker>
          <c:cat>
            <c:strRef>
              <c:f>'Capacity History'!$A$2:$A$115</c:f>
              <c:strCache>
                <c:ptCount val="114"/>
                <c:pt idx="0">
                  <c:v>2023-10-18 - 2023-10-26</c:v>
                </c:pt>
                <c:pt idx="1">
                  <c:v>2023-10-26 - 2023-11-08</c:v>
                </c:pt>
                <c:pt idx="2">
                  <c:v>2023-11-08 - 2023-11-14</c:v>
                </c:pt>
                <c:pt idx="3">
                  <c:v>2023-11-14 - 2023-11-20</c:v>
                </c:pt>
                <c:pt idx="4">
                  <c:v>2023-11-20 - 2023-11-27</c:v>
                </c:pt>
                <c:pt idx="5">
                  <c:v>2023-11-27 - 2023-12-04</c:v>
                </c:pt>
                <c:pt idx="6">
                  <c:v>2023-12-04 - 2023-12-13</c:v>
                </c:pt>
                <c:pt idx="7">
                  <c:v>2023-12-13 - 2023-12-18</c:v>
                </c:pt>
                <c:pt idx="8">
                  <c:v>2023-12-18 - 2023-12-28</c:v>
                </c:pt>
                <c:pt idx="9">
                  <c:v>2023-12-28 - 2024-01-01</c:v>
                </c:pt>
                <c:pt idx="10">
                  <c:v>2024-01-01 - 2024-01-08</c:v>
                </c:pt>
                <c:pt idx="11">
                  <c:v>2024-01-08 - 2024-01-24</c:v>
                </c:pt>
                <c:pt idx="12">
                  <c:v>2024-01-24 - 2024-02-07</c:v>
                </c:pt>
                <c:pt idx="13">
                  <c:v>2024-02-07 - 2024-02-12</c:v>
                </c:pt>
                <c:pt idx="14">
                  <c:v>2024-02-12 - 2024-03-04</c:v>
                </c:pt>
                <c:pt idx="15">
                  <c:v>2024-03-04 - 2024-03-18</c:v>
                </c:pt>
                <c:pt idx="16">
                  <c:v>2024-03-18 - 2024-03-25</c:v>
                </c:pt>
                <c:pt idx="17">
                  <c:v>2024-03-25 - 2024-04-08</c:v>
                </c:pt>
                <c:pt idx="18">
                  <c:v>2024-04-08 - 2024-04-23</c:v>
                </c:pt>
                <c:pt idx="19">
                  <c:v>2024-04-23 - 2024-04-29</c:v>
                </c:pt>
                <c:pt idx="20">
                  <c:v>2024-04-29 - 2024-05-06</c:v>
                </c:pt>
                <c:pt idx="21">
                  <c:v>2024-05-06 - 2024-05-13</c:v>
                </c:pt>
                <c:pt idx="22">
                  <c:v>2024-05-13 - 2024-05-20</c:v>
                </c:pt>
                <c:pt idx="23">
                  <c:v>2024-05-20 - 2024-05-28</c:v>
                </c:pt>
                <c:pt idx="24">
                  <c:v>2024-05-28 - 2024-06-05</c:v>
                </c:pt>
                <c:pt idx="25">
                  <c:v>2024-06-05 - 2024-06-17</c:v>
                </c:pt>
                <c:pt idx="26">
                  <c:v>2024-06-17 - 2024-06-24</c:v>
                </c:pt>
                <c:pt idx="27">
                  <c:v>2024-06-24 - 2024-07-02</c:v>
                </c:pt>
                <c:pt idx="28">
                  <c:v>2024-07-02 - 2024-07-08</c:v>
                </c:pt>
                <c:pt idx="29">
                  <c:v>2024-07-08 - 2024-07-15</c:v>
                </c:pt>
                <c:pt idx="30">
                  <c:v>2024-07-15 - 2024-07-22</c:v>
                </c:pt>
                <c:pt idx="31">
                  <c:v>2024-07-22 - 2024-07-30</c:v>
                </c:pt>
                <c:pt idx="32">
                  <c:v>2024-07-30 - 2024-08-06</c:v>
                </c:pt>
                <c:pt idx="33">
                  <c:v>2024-08-06 - 2024-08-13</c:v>
                </c:pt>
                <c:pt idx="34">
                  <c:v>2024-08-13 - 2024-08-19</c:v>
                </c:pt>
                <c:pt idx="35">
                  <c:v>2024-08-19 - 2024-08-26</c:v>
                </c:pt>
                <c:pt idx="36">
                  <c:v>2024-08-26 - 2024-09-02</c:v>
                </c:pt>
                <c:pt idx="37">
                  <c:v>2024-09-02 - 2024-09-16</c:v>
                </c:pt>
                <c:pt idx="38">
                  <c:v>2024-09-16 - 2024-09-25</c:v>
                </c:pt>
                <c:pt idx="39">
                  <c:v>2024-09-25 - 2024-10-01</c:v>
                </c:pt>
                <c:pt idx="40">
                  <c:v>2024-10-01 - 2024-10-08</c:v>
                </c:pt>
                <c:pt idx="41">
                  <c:v>2024-10-08 - 2024-11-11</c:v>
                </c:pt>
                <c:pt idx="42">
                  <c:v>2024-11-11 - 2024-11-25</c:v>
                </c:pt>
                <c:pt idx="43">
                  <c:v>2024-11-25 - 2024-12-04</c:v>
                </c:pt>
                <c:pt idx="44">
                  <c:v>2024-12-04 - 2024-12-10</c:v>
                </c:pt>
                <c:pt idx="45">
                  <c:v>2024-12-10 - 2024-12-26</c:v>
                </c:pt>
                <c:pt idx="46">
                  <c:v>2024-12-26 - 2025-01-07</c:v>
                </c:pt>
                <c:pt idx="47">
                  <c:v>2025-01-07 - 2025-01-27</c:v>
                </c:pt>
                <c:pt idx="48">
                  <c:v>2025-01-27 - 2025-02-05</c:v>
                </c:pt>
                <c:pt idx="49">
                  <c:v>2025-02-05 - 2025-02-11</c:v>
                </c:pt>
                <c:pt idx="50">
                  <c:v>2025-02-11 - 2025-02-20</c:v>
                </c:pt>
                <c:pt idx="51">
                  <c:v>2025-02-20 - 2025-02-24</c:v>
                </c:pt>
                <c:pt idx="52">
                  <c:v>2025-02-24 - 2025-03-05</c:v>
                </c:pt>
                <c:pt idx="53">
                  <c:v>2025-03-05 - 2025-03-12</c:v>
                </c:pt>
                <c:pt idx="54">
                  <c:v>2025-03-12 - 2025-03-17</c:v>
                </c:pt>
                <c:pt idx="55">
                  <c:v>2025-03-17 - 2025-04-03</c:v>
                </c:pt>
                <c:pt idx="56">
                  <c:v>2025-04-03 - 2025-04-09</c:v>
                </c:pt>
                <c:pt idx="57">
                  <c:v>2025-04-09 - 2025-04-18</c:v>
                </c:pt>
                <c:pt idx="58">
                  <c:v>2025-04-18 - 2025-05-05</c:v>
                </c:pt>
                <c:pt idx="59">
                  <c:v>2025-05-05 - 2025-05-14</c:v>
                </c:pt>
                <c:pt idx="60">
                  <c:v>2025-05-14 - 2025-05-23</c:v>
                </c:pt>
                <c:pt idx="61">
                  <c:v>2025-05-23 - 2025-05-28</c:v>
                </c:pt>
                <c:pt idx="62">
                  <c:v>2025-05-28 - 2025-06-23</c:v>
                </c:pt>
                <c:pt idx="63">
                  <c:v>2025-06-23 - 2025-07-02</c:v>
                </c:pt>
                <c:pt idx="64">
                  <c:v>2025-07-02 - 2025-07-07</c:v>
                </c:pt>
                <c:pt idx="65">
                  <c:v>2025-07-07 - 2025-07-15</c:v>
                </c:pt>
                <c:pt idx="66">
                  <c:v>2025-07-15 - 2025-08-25</c:v>
                </c:pt>
                <c:pt idx="67">
                  <c:v>2025-08-25 - 2025-09-02</c:v>
                </c:pt>
                <c:pt idx="68">
                  <c:v>2025-09-02 - 2025-09-12</c:v>
                </c:pt>
                <c:pt idx="69">
                  <c:v>2025-09-12 - 2025-09-18</c:v>
                </c:pt>
                <c:pt idx="70">
                  <c:v>2025-09-18 - 2025-10-08</c:v>
                </c:pt>
                <c:pt idx="71">
                  <c:v>2025-10-08 - 2025-10-14</c:v>
                </c:pt>
                <c:pt idx="72">
                  <c:v>2025-10-14 - 2025-10-29</c:v>
                </c:pt>
                <c:pt idx="73">
                  <c:v>2025-10-29 - 2025-11-04</c:v>
                </c:pt>
                <c:pt idx="74">
                  <c:v>2025-11-04 - 2025-11-20</c:v>
                </c:pt>
                <c:pt idx="75">
                  <c:v>2025-11-20 - 2025-11-24</c:v>
                </c:pt>
                <c:pt idx="76">
                  <c:v>2025-12-23 - 2026-01-13</c:v>
                </c:pt>
                <c:pt idx="77">
                  <c:v>2026-01-13 - 2026-01-20</c:v>
                </c:pt>
                <c:pt idx="78">
                  <c:v>2026-01-20 - 2026-01-27</c:v>
                </c:pt>
                <c:pt idx="79">
                  <c:v>2026-01-27 - 2026-02-03</c:v>
                </c:pt>
                <c:pt idx="80">
                  <c:v>2026-02-03 - 2026-02-10</c:v>
                </c:pt>
                <c:pt idx="81">
                  <c:v>2026-02-10 - 2026-02-17</c:v>
                </c:pt>
                <c:pt idx="82">
                  <c:v>2026-02-17 - 2026-02-24</c:v>
                </c:pt>
                <c:pt idx="83">
                  <c:v>2026-02-24 - 2026-03-03</c:v>
                </c:pt>
                <c:pt idx="84">
                  <c:v>2026-03-03 - 2026-03-10</c:v>
                </c:pt>
                <c:pt idx="85">
                  <c:v>2026-03-10 - 2026-03-17</c:v>
                </c:pt>
                <c:pt idx="86">
                  <c:v>2026-03-17 - 2026-03-24</c:v>
                </c:pt>
                <c:pt idx="87">
                  <c:v>2026-03-24 - 2026-03-31</c:v>
                </c:pt>
                <c:pt idx="88">
                  <c:v>2026-03-31 - 2026-04-07</c:v>
                </c:pt>
                <c:pt idx="89">
                  <c:v>2026-04-07 - 2026-04-14</c:v>
                </c:pt>
                <c:pt idx="90">
                  <c:v>2026-04-14 - 2026-04-21</c:v>
                </c:pt>
                <c:pt idx="91">
                  <c:v>2026-04-21 - 2026-04-28</c:v>
                </c:pt>
                <c:pt idx="92">
                  <c:v>2026-04-28 - 2026-05-05</c:v>
                </c:pt>
                <c:pt idx="93">
                  <c:v>2026-05-05 - 2026-05-12</c:v>
                </c:pt>
                <c:pt idx="94">
                  <c:v>2026-05-12 - 2026-05-19</c:v>
                </c:pt>
                <c:pt idx="95">
                  <c:v>2026-05-19 - 2026-05-26</c:v>
                </c:pt>
                <c:pt idx="96">
                  <c:v>2026-05-26 - 2026-06-02</c:v>
                </c:pt>
                <c:pt idx="97">
                  <c:v>2026-06-02 - 2026-06-09</c:v>
                </c:pt>
                <c:pt idx="98">
                  <c:v>2026-06-09 - 2026-06-16</c:v>
                </c:pt>
                <c:pt idx="99">
                  <c:v>2026-06-16 - 2026-06-23</c:v>
                </c:pt>
                <c:pt idx="100">
                  <c:v>2026-06-23 - 2026-06-30</c:v>
                </c:pt>
                <c:pt idx="101">
                  <c:v>2026-06-30 - 2026-07-07</c:v>
                </c:pt>
                <c:pt idx="102">
                  <c:v>2026-07-07 - 2026-07-14</c:v>
                </c:pt>
                <c:pt idx="103">
                  <c:v>2026-07-14 - 2026-07-21</c:v>
                </c:pt>
                <c:pt idx="104">
                  <c:v>2026-07-21 - 2026-07-28</c:v>
                </c:pt>
                <c:pt idx="105">
                  <c:v>2026-07-28</c:v>
                </c:pt>
                <c:pt idx="106">
                  <c:v>2026-07-29</c:v>
                </c:pt>
                <c:pt idx="107">
                  <c:v>2026-07-30</c:v>
                </c:pt>
                <c:pt idx="108">
                  <c:v>2026-07-31</c:v>
                </c:pt>
                <c:pt idx="109">
                  <c:v>2026-08-01</c:v>
                </c:pt>
                <c:pt idx="110">
                  <c:v>2026-08-02</c:v>
                </c:pt>
                <c:pt idx="111">
                  <c:v>2026-08-03</c:v>
                </c:pt>
                <c:pt idx="112">
                  <c:v>2026-08-04</c:v>
                </c:pt>
                <c:pt idx="113">
                  <c:v>2026-08-05</c:v>
                </c:pt>
              </c:strCache>
            </c:strRef>
          </c:cat>
          <c:val>
            <c:numRef>
              <c:f>'Capacity History'!$B$2:$B$115</c:f>
              <c:numCache>
                <c:formatCode>#,##0</c:formatCode>
                <c:ptCount val="114"/>
                <c:pt idx="0">
                  <c:v>59321</c:v>
                </c:pt>
                <c:pt idx="1">
                  <c:v>58657</c:v>
                </c:pt>
                <c:pt idx="2">
                  <c:v>59100</c:v>
                </c:pt>
                <c:pt idx="3">
                  <c:v>58766</c:v>
                </c:pt>
                <c:pt idx="4">
                  <c:v>59073</c:v>
                </c:pt>
                <c:pt idx="5">
                  <c:v>59574</c:v>
                </c:pt>
                <c:pt idx="6">
                  <c:v>59706</c:v>
                </c:pt>
                <c:pt idx="7">
                  <c:v>59706</c:v>
                </c:pt>
                <c:pt idx="8">
                  <c:v>57713</c:v>
                </c:pt>
                <c:pt idx="9">
                  <c:v>57685</c:v>
                </c:pt>
                <c:pt idx="10">
                  <c:v>58059</c:v>
                </c:pt>
                <c:pt idx="11">
                  <c:v>57202</c:v>
                </c:pt>
                <c:pt idx="12">
                  <c:v>58375</c:v>
                </c:pt>
                <c:pt idx="13">
                  <c:v>58489</c:v>
                </c:pt>
                <c:pt idx="14">
                  <c:v>58667</c:v>
                </c:pt>
                <c:pt idx="15">
                  <c:v>58170</c:v>
                </c:pt>
                <c:pt idx="16">
                  <c:v>57827</c:v>
                </c:pt>
                <c:pt idx="17">
                  <c:v>55827</c:v>
                </c:pt>
                <c:pt idx="18">
                  <c:v>56020</c:v>
                </c:pt>
                <c:pt idx="19">
                  <c:v>55024</c:v>
                </c:pt>
                <c:pt idx="20">
                  <c:v>55758</c:v>
                </c:pt>
                <c:pt idx="21">
                  <c:v>54989</c:v>
                </c:pt>
                <c:pt idx="22">
                  <c:v>56684</c:v>
                </c:pt>
                <c:pt idx="23">
                  <c:v>55197</c:v>
                </c:pt>
                <c:pt idx="24">
                  <c:v>55360</c:v>
                </c:pt>
                <c:pt idx="25">
                  <c:v>55704</c:v>
                </c:pt>
                <c:pt idx="26">
                  <c:v>54129</c:v>
                </c:pt>
                <c:pt idx="27">
                  <c:v>53889</c:v>
                </c:pt>
                <c:pt idx="28">
                  <c:v>54256</c:v>
                </c:pt>
                <c:pt idx="29">
                  <c:v>54025</c:v>
                </c:pt>
                <c:pt idx="30">
                  <c:v>54826</c:v>
                </c:pt>
                <c:pt idx="31">
                  <c:v>54528</c:v>
                </c:pt>
                <c:pt idx="32">
                  <c:v>54403</c:v>
                </c:pt>
                <c:pt idx="33">
                  <c:v>52580</c:v>
                </c:pt>
                <c:pt idx="34">
                  <c:v>52067</c:v>
                </c:pt>
                <c:pt idx="35">
                  <c:v>51059</c:v>
                </c:pt>
                <c:pt idx="36">
                  <c:v>49580</c:v>
                </c:pt>
                <c:pt idx="37">
                  <c:v>47562</c:v>
                </c:pt>
                <c:pt idx="38">
                  <c:v>51415</c:v>
                </c:pt>
                <c:pt idx="39">
                  <c:v>51637</c:v>
                </c:pt>
                <c:pt idx="40">
                  <c:v>50990</c:v>
                </c:pt>
                <c:pt idx="41">
                  <c:v>50240</c:v>
                </c:pt>
                <c:pt idx="42">
                  <c:v>51031</c:v>
                </c:pt>
                <c:pt idx="43">
                  <c:v>49638</c:v>
                </c:pt>
                <c:pt idx="44">
                  <c:v>45076</c:v>
                </c:pt>
                <c:pt idx="45">
                  <c:v>46335</c:v>
                </c:pt>
                <c:pt idx="46">
                  <c:v>50234</c:v>
                </c:pt>
                <c:pt idx="47">
                  <c:v>48711</c:v>
                </c:pt>
                <c:pt idx="48">
                  <c:v>52943</c:v>
                </c:pt>
                <c:pt idx="49">
                  <c:v>52034</c:v>
                </c:pt>
                <c:pt idx="50">
                  <c:v>51424</c:v>
                </c:pt>
                <c:pt idx="51">
                  <c:v>50231</c:v>
                </c:pt>
                <c:pt idx="52">
                  <c:v>48118</c:v>
                </c:pt>
                <c:pt idx="53">
                  <c:v>51771</c:v>
                </c:pt>
                <c:pt idx="54">
                  <c:v>52320</c:v>
                </c:pt>
                <c:pt idx="55">
                  <c:v>53242</c:v>
                </c:pt>
                <c:pt idx="56">
                  <c:v>53637</c:v>
                </c:pt>
                <c:pt idx="57">
                  <c:v>52163</c:v>
                </c:pt>
                <c:pt idx="58">
                  <c:v>47568</c:v>
                </c:pt>
                <c:pt idx="59">
                  <c:v>49438</c:v>
                </c:pt>
                <c:pt idx="60">
                  <c:v>52991</c:v>
                </c:pt>
                <c:pt idx="61">
                  <c:v>50558</c:v>
                </c:pt>
                <c:pt idx="62">
                  <c:v>51602</c:v>
                </c:pt>
                <c:pt idx="63">
                  <c:v>50327</c:v>
                </c:pt>
                <c:pt idx="64">
                  <c:v>50018</c:v>
                </c:pt>
                <c:pt idx="65">
                  <c:v>49693</c:v>
                </c:pt>
                <c:pt idx="66">
                  <c:v>51566</c:v>
                </c:pt>
                <c:pt idx="67">
                  <c:v>47383</c:v>
                </c:pt>
                <c:pt idx="68">
                  <c:v>46357</c:v>
                </c:pt>
                <c:pt idx="69">
                  <c:v>49017</c:v>
                </c:pt>
                <c:pt idx="70">
                  <c:v>47771</c:v>
                </c:pt>
                <c:pt idx="71">
                  <c:v>49465</c:v>
                </c:pt>
                <c:pt idx="72">
                  <c:v>50491</c:v>
                </c:pt>
                <c:pt idx="73">
                  <c:v>50774</c:v>
                </c:pt>
                <c:pt idx="74">
                  <c:v>52368</c:v>
                </c:pt>
                <c:pt idx="75">
                  <c:v>50920</c:v>
                </c:pt>
                <c:pt idx="76">
                  <c:v>42935</c:v>
                </c:pt>
                <c:pt idx="77">
                  <c:v>38469</c:v>
                </c:pt>
                <c:pt idx="78">
                  <c:v>38469</c:v>
                </c:pt>
                <c:pt idx="79">
                  <c:v>38469</c:v>
                </c:pt>
                <c:pt idx="80">
                  <c:v>38469</c:v>
                </c:pt>
                <c:pt idx="81">
                  <c:v>38469</c:v>
                </c:pt>
                <c:pt idx="82">
                  <c:v>38469</c:v>
                </c:pt>
                <c:pt idx="83">
                  <c:v>38469</c:v>
                </c:pt>
                <c:pt idx="84">
                  <c:v>38469</c:v>
                </c:pt>
                <c:pt idx="85">
                  <c:v>38469</c:v>
                </c:pt>
                <c:pt idx="86">
                  <c:v>38469</c:v>
                </c:pt>
                <c:pt idx="87">
                  <c:v>38469</c:v>
                </c:pt>
                <c:pt idx="88">
                  <c:v>38469</c:v>
                </c:pt>
                <c:pt idx="89">
                  <c:v>38469</c:v>
                </c:pt>
                <c:pt idx="90">
                  <c:v>38469</c:v>
                </c:pt>
                <c:pt idx="91">
                  <c:v>38469</c:v>
                </c:pt>
                <c:pt idx="92">
                  <c:v>38469</c:v>
                </c:pt>
                <c:pt idx="93">
                  <c:v>38469</c:v>
                </c:pt>
                <c:pt idx="94">
                  <c:v>38469</c:v>
                </c:pt>
                <c:pt idx="95">
                  <c:v>38469</c:v>
                </c:pt>
                <c:pt idx="96">
                  <c:v>38469</c:v>
                </c:pt>
                <c:pt idx="97">
                  <c:v>38469</c:v>
                </c:pt>
                <c:pt idx="98">
                  <c:v>38469</c:v>
                </c:pt>
                <c:pt idx="99">
                  <c:v>38469</c:v>
                </c:pt>
                <c:pt idx="100">
                  <c:v>39734</c:v>
                </c:pt>
                <c:pt idx="101">
                  <c:v>49605</c:v>
                </c:pt>
                <c:pt idx="102">
                  <c:v>47009</c:v>
                </c:pt>
                <c:pt idx="103">
                  <c:v>47833</c:v>
                </c:pt>
                <c:pt idx="104">
                  <c:v>48387</c:v>
                </c:pt>
                <c:pt idx="105">
                  <c:v>48387</c:v>
                </c:pt>
                <c:pt idx="106">
                  <c:v>47116</c:v>
                </c:pt>
                <c:pt idx="107">
                  <c:v>46962</c:v>
                </c:pt>
                <c:pt idx="108">
                  <c:v>46600</c:v>
                </c:pt>
                <c:pt idx="109">
                  <c:v>46600</c:v>
                </c:pt>
                <c:pt idx="110">
                  <c:v>46600</c:v>
                </c:pt>
                <c:pt idx="111">
                  <c:v>46600</c:v>
                </c:pt>
                <c:pt idx="112">
                  <c:v>46600</c:v>
                </c:pt>
                <c:pt idx="113">
                  <c:v>46600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B-4EE4-B315-2A910A309061}"/>
            </c:ext>
          </c:extLst>
        </c:ser>
        <c:ser>
          <c:idx val="1"/>
          <c:order val="1"/>
          <c:tx>
            <c:v>Design Capacity (mWh)</c:v>
          </c:tx>
          <c:marker>
            <c:symbol val="none"/>
          </c:marker>
          <c:cat>
            <c:strRef>
              <c:f>'Capacity History'!$A$2:$A$115</c:f>
              <c:strCache>
                <c:ptCount val="114"/>
                <c:pt idx="0">
                  <c:v>2023-10-18 - 2023-10-26</c:v>
                </c:pt>
                <c:pt idx="1">
                  <c:v>2023-10-26 - 2023-11-08</c:v>
                </c:pt>
                <c:pt idx="2">
                  <c:v>2023-11-08 - 2023-11-14</c:v>
                </c:pt>
                <c:pt idx="3">
                  <c:v>2023-11-14 - 2023-11-20</c:v>
                </c:pt>
                <c:pt idx="4">
                  <c:v>2023-11-20 - 2023-11-27</c:v>
                </c:pt>
                <c:pt idx="5">
                  <c:v>2023-11-27 - 2023-12-04</c:v>
                </c:pt>
                <c:pt idx="6">
                  <c:v>2023-12-04 - 2023-12-13</c:v>
                </c:pt>
                <c:pt idx="7">
                  <c:v>2023-12-13 - 2023-12-18</c:v>
                </c:pt>
                <c:pt idx="8">
                  <c:v>2023-12-18 - 2023-12-28</c:v>
                </c:pt>
                <c:pt idx="9">
                  <c:v>2023-12-28 - 2024-01-01</c:v>
                </c:pt>
                <c:pt idx="10">
                  <c:v>2024-01-01 - 2024-01-08</c:v>
                </c:pt>
                <c:pt idx="11">
                  <c:v>2024-01-08 - 2024-01-24</c:v>
                </c:pt>
                <c:pt idx="12">
                  <c:v>2024-01-24 - 2024-02-07</c:v>
                </c:pt>
                <c:pt idx="13">
                  <c:v>2024-02-07 - 2024-02-12</c:v>
                </c:pt>
                <c:pt idx="14">
                  <c:v>2024-02-12 - 2024-03-04</c:v>
                </c:pt>
                <c:pt idx="15">
                  <c:v>2024-03-04 - 2024-03-18</c:v>
                </c:pt>
                <c:pt idx="16">
                  <c:v>2024-03-18 - 2024-03-25</c:v>
                </c:pt>
                <c:pt idx="17">
                  <c:v>2024-03-25 - 2024-04-08</c:v>
                </c:pt>
                <c:pt idx="18">
                  <c:v>2024-04-08 - 2024-04-23</c:v>
                </c:pt>
                <c:pt idx="19">
                  <c:v>2024-04-23 - 2024-04-29</c:v>
                </c:pt>
                <c:pt idx="20">
                  <c:v>2024-04-29 - 2024-05-06</c:v>
                </c:pt>
                <c:pt idx="21">
                  <c:v>2024-05-06 - 2024-05-13</c:v>
                </c:pt>
                <c:pt idx="22">
                  <c:v>2024-05-13 - 2024-05-20</c:v>
                </c:pt>
                <c:pt idx="23">
                  <c:v>2024-05-20 - 2024-05-28</c:v>
                </c:pt>
                <c:pt idx="24">
                  <c:v>2024-05-28 - 2024-06-05</c:v>
                </c:pt>
                <c:pt idx="25">
                  <c:v>2024-06-05 - 2024-06-17</c:v>
                </c:pt>
                <c:pt idx="26">
                  <c:v>2024-06-17 - 2024-06-24</c:v>
                </c:pt>
                <c:pt idx="27">
                  <c:v>2024-06-24 - 2024-07-02</c:v>
                </c:pt>
                <c:pt idx="28">
                  <c:v>2024-07-02 - 2024-07-08</c:v>
                </c:pt>
                <c:pt idx="29">
                  <c:v>2024-07-08 - 2024-07-15</c:v>
                </c:pt>
                <c:pt idx="30">
                  <c:v>2024-07-15 - 2024-07-22</c:v>
                </c:pt>
                <c:pt idx="31">
                  <c:v>2024-07-22 - 2024-07-30</c:v>
                </c:pt>
                <c:pt idx="32">
                  <c:v>2024-07-30 - 2024-08-06</c:v>
                </c:pt>
                <c:pt idx="33">
                  <c:v>2024-08-06 - 2024-08-13</c:v>
                </c:pt>
                <c:pt idx="34">
                  <c:v>2024-08-13 - 2024-08-19</c:v>
                </c:pt>
                <c:pt idx="35">
                  <c:v>2024-08-19 - 2024-08-26</c:v>
                </c:pt>
                <c:pt idx="36">
                  <c:v>2024-08-26 - 2024-09-02</c:v>
                </c:pt>
                <c:pt idx="37">
                  <c:v>2024-09-02 - 2024-09-16</c:v>
                </c:pt>
                <c:pt idx="38">
                  <c:v>2024-09-16 - 2024-09-25</c:v>
                </c:pt>
                <c:pt idx="39">
                  <c:v>2024-09-25 - 2024-10-01</c:v>
                </c:pt>
                <c:pt idx="40">
                  <c:v>2024-10-01 - 2024-10-08</c:v>
                </c:pt>
                <c:pt idx="41">
                  <c:v>2024-10-08 - 2024-11-11</c:v>
                </c:pt>
                <c:pt idx="42">
                  <c:v>2024-11-11 - 2024-11-25</c:v>
                </c:pt>
                <c:pt idx="43">
                  <c:v>2024-11-25 - 2024-12-04</c:v>
                </c:pt>
                <c:pt idx="44">
                  <c:v>2024-12-04 - 2024-12-10</c:v>
                </c:pt>
                <c:pt idx="45">
                  <c:v>2024-12-10 - 2024-12-26</c:v>
                </c:pt>
                <c:pt idx="46">
                  <c:v>2024-12-26 - 2025-01-07</c:v>
                </c:pt>
                <c:pt idx="47">
                  <c:v>2025-01-07 - 2025-01-27</c:v>
                </c:pt>
                <c:pt idx="48">
                  <c:v>2025-01-27 - 2025-02-05</c:v>
                </c:pt>
                <c:pt idx="49">
                  <c:v>2025-02-05 - 2025-02-11</c:v>
                </c:pt>
                <c:pt idx="50">
                  <c:v>2025-02-11 - 2025-02-20</c:v>
                </c:pt>
                <c:pt idx="51">
                  <c:v>2025-02-20 - 2025-02-24</c:v>
                </c:pt>
                <c:pt idx="52">
                  <c:v>2025-02-24 - 2025-03-05</c:v>
                </c:pt>
                <c:pt idx="53">
                  <c:v>2025-03-05 - 2025-03-12</c:v>
                </c:pt>
                <c:pt idx="54">
                  <c:v>2025-03-12 - 2025-03-17</c:v>
                </c:pt>
                <c:pt idx="55">
                  <c:v>2025-03-17 - 2025-04-03</c:v>
                </c:pt>
                <c:pt idx="56">
                  <c:v>2025-04-03 - 2025-04-09</c:v>
                </c:pt>
                <c:pt idx="57">
                  <c:v>2025-04-09 - 2025-04-18</c:v>
                </c:pt>
                <c:pt idx="58">
                  <c:v>2025-04-18 - 2025-05-05</c:v>
                </c:pt>
                <c:pt idx="59">
                  <c:v>2025-05-05 - 2025-05-14</c:v>
                </c:pt>
                <c:pt idx="60">
                  <c:v>2025-05-14 - 2025-05-23</c:v>
                </c:pt>
                <c:pt idx="61">
                  <c:v>2025-05-23 - 2025-05-28</c:v>
                </c:pt>
                <c:pt idx="62">
                  <c:v>2025-05-28 - 2025-06-23</c:v>
                </c:pt>
                <c:pt idx="63">
                  <c:v>2025-06-23 - 2025-07-02</c:v>
                </c:pt>
                <c:pt idx="64">
                  <c:v>2025-07-02 - 2025-07-07</c:v>
                </c:pt>
                <c:pt idx="65">
                  <c:v>2025-07-07 - 2025-07-15</c:v>
                </c:pt>
                <c:pt idx="66">
                  <c:v>2025-07-15 - 2025-08-25</c:v>
                </c:pt>
                <c:pt idx="67">
                  <c:v>2025-08-25 - 2025-09-02</c:v>
                </c:pt>
                <c:pt idx="68">
                  <c:v>2025-09-02 - 2025-09-12</c:v>
                </c:pt>
                <c:pt idx="69">
                  <c:v>2025-09-12 - 2025-09-18</c:v>
                </c:pt>
                <c:pt idx="70">
                  <c:v>2025-09-18 - 2025-10-08</c:v>
                </c:pt>
                <c:pt idx="71">
                  <c:v>2025-10-08 - 2025-10-14</c:v>
                </c:pt>
                <c:pt idx="72">
                  <c:v>2025-10-14 - 2025-10-29</c:v>
                </c:pt>
                <c:pt idx="73">
                  <c:v>2025-10-29 - 2025-11-04</c:v>
                </c:pt>
                <c:pt idx="74">
                  <c:v>2025-11-04 - 2025-11-20</c:v>
                </c:pt>
                <c:pt idx="75">
                  <c:v>2025-11-20 - 2025-11-24</c:v>
                </c:pt>
                <c:pt idx="76">
                  <c:v>2025-12-23 - 2026-01-13</c:v>
                </c:pt>
                <c:pt idx="77">
                  <c:v>2026-01-13 - 2026-01-20</c:v>
                </c:pt>
                <c:pt idx="78">
                  <c:v>2026-01-20 - 2026-01-27</c:v>
                </c:pt>
                <c:pt idx="79">
                  <c:v>2026-01-27 - 2026-02-03</c:v>
                </c:pt>
                <c:pt idx="80">
                  <c:v>2026-02-03 - 2026-02-10</c:v>
                </c:pt>
                <c:pt idx="81">
                  <c:v>2026-02-10 - 2026-02-17</c:v>
                </c:pt>
                <c:pt idx="82">
                  <c:v>2026-02-17 - 2026-02-24</c:v>
                </c:pt>
                <c:pt idx="83">
                  <c:v>2026-02-24 - 2026-03-03</c:v>
                </c:pt>
                <c:pt idx="84">
                  <c:v>2026-03-03 - 2026-03-10</c:v>
                </c:pt>
                <c:pt idx="85">
                  <c:v>2026-03-10 - 2026-03-17</c:v>
                </c:pt>
                <c:pt idx="86">
                  <c:v>2026-03-17 - 2026-03-24</c:v>
                </c:pt>
                <c:pt idx="87">
                  <c:v>2026-03-24 - 2026-03-31</c:v>
                </c:pt>
                <c:pt idx="88">
                  <c:v>2026-03-31 - 2026-04-07</c:v>
                </c:pt>
                <c:pt idx="89">
                  <c:v>2026-04-07 - 2026-04-14</c:v>
                </c:pt>
                <c:pt idx="90">
                  <c:v>2026-04-14 - 2026-04-21</c:v>
                </c:pt>
                <c:pt idx="91">
                  <c:v>2026-04-21 - 2026-04-28</c:v>
                </c:pt>
                <c:pt idx="92">
                  <c:v>2026-04-28 - 2026-05-05</c:v>
                </c:pt>
                <c:pt idx="93">
                  <c:v>2026-05-05 - 2026-05-12</c:v>
                </c:pt>
                <c:pt idx="94">
                  <c:v>2026-05-12 - 2026-05-19</c:v>
                </c:pt>
                <c:pt idx="95">
                  <c:v>2026-05-19 - 2026-05-26</c:v>
                </c:pt>
                <c:pt idx="96">
                  <c:v>2026-05-26 - 2026-06-02</c:v>
                </c:pt>
                <c:pt idx="97">
                  <c:v>2026-06-02 - 2026-06-09</c:v>
                </c:pt>
                <c:pt idx="98">
                  <c:v>2026-06-09 - 2026-06-16</c:v>
                </c:pt>
                <c:pt idx="99">
                  <c:v>2026-06-16 - 2026-06-23</c:v>
                </c:pt>
                <c:pt idx="100">
                  <c:v>2026-06-23 - 2026-06-30</c:v>
                </c:pt>
                <c:pt idx="101">
                  <c:v>2026-06-30 - 2026-07-07</c:v>
                </c:pt>
                <c:pt idx="102">
                  <c:v>2026-07-07 - 2026-07-14</c:v>
                </c:pt>
                <c:pt idx="103">
                  <c:v>2026-07-14 - 2026-07-21</c:v>
                </c:pt>
                <c:pt idx="104">
                  <c:v>2026-07-21 - 2026-07-28</c:v>
                </c:pt>
                <c:pt idx="105">
                  <c:v>2026-07-28</c:v>
                </c:pt>
                <c:pt idx="106">
                  <c:v>2026-07-29</c:v>
                </c:pt>
                <c:pt idx="107">
                  <c:v>2026-07-30</c:v>
                </c:pt>
                <c:pt idx="108">
                  <c:v>2026-07-31</c:v>
                </c:pt>
                <c:pt idx="109">
                  <c:v>2026-08-01</c:v>
                </c:pt>
                <c:pt idx="110">
                  <c:v>2026-08-02</c:v>
                </c:pt>
                <c:pt idx="111">
                  <c:v>2026-08-03</c:v>
                </c:pt>
                <c:pt idx="112">
                  <c:v>2026-08-04</c:v>
                </c:pt>
                <c:pt idx="113">
                  <c:v>2026-08-05</c:v>
                </c:pt>
              </c:strCache>
            </c:strRef>
          </c:cat>
          <c:val>
            <c:numRef>
              <c:f>'Capacity History'!$C$2:$C$115</c:f>
              <c:numCache>
                <c:formatCode>#,##0</c:formatCode>
                <c:ptCount val="114"/>
                <c:pt idx="0">
                  <c:v>58751</c:v>
                </c:pt>
                <c:pt idx="1">
                  <c:v>58751</c:v>
                </c:pt>
                <c:pt idx="2">
                  <c:v>58751</c:v>
                </c:pt>
                <c:pt idx="3">
                  <c:v>58751</c:v>
                </c:pt>
                <c:pt idx="4">
                  <c:v>58751</c:v>
                </c:pt>
                <c:pt idx="5">
                  <c:v>58751</c:v>
                </c:pt>
                <c:pt idx="6">
                  <c:v>58751</c:v>
                </c:pt>
                <c:pt idx="7">
                  <c:v>58751</c:v>
                </c:pt>
                <c:pt idx="8">
                  <c:v>58751</c:v>
                </c:pt>
                <c:pt idx="9">
                  <c:v>58751</c:v>
                </c:pt>
                <c:pt idx="10">
                  <c:v>58751</c:v>
                </c:pt>
                <c:pt idx="11">
                  <c:v>58751</c:v>
                </c:pt>
                <c:pt idx="12">
                  <c:v>58751</c:v>
                </c:pt>
                <c:pt idx="13">
                  <c:v>58751</c:v>
                </c:pt>
                <c:pt idx="14">
                  <c:v>58751</c:v>
                </c:pt>
                <c:pt idx="15">
                  <c:v>58751</c:v>
                </c:pt>
                <c:pt idx="16">
                  <c:v>58751</c:v>
                </c:pt>
                <c:pt idx="17">
                  <c:v>58751</c:v>
                </c:pt>
                <c:pt idx="18">
                  <c:v>58751</c:v>
                </c:pt>
                <c:pt idx="19">
                  <c:v>58751</c:v>
                </c:pt>
                <c:pt idx="20">
                  <c:v>58751</c:v>
                </c:pt>
                <c:pt idx="21">
                  <c:v>58751</c:v>
                </c:pt>
                <c:pt idx="22">
                  <c:v>58751</c:v>
                </c:pt>
                <c:pt idx="23">
                  <c:v>58751</c:v>
                </c:pt>
                <c:pt idx="24">
                  <c:v>58751</c:v>
                </c:pt>
                <c:pt idx="25">
                  <c:v>58751</c:v>
                </c:pt>
                <c:pt idx="26">
                  <c:v>58751</c:v>
                </c:pt>
                <c:pt idx="27">
                  <c:v>58751</c:v>
                </c:pt>
                <c:pt idx="28">
                  <c:v>58751</c:v>
                </c:pt>
                <c:pt idx="29">
                  <c:v>58751</c:v>
                </c:pt>
                <c:pt idx="30">
                  <c:v>58751</c:v>
                </c:pt>
                <c:pt idx="31">
                  <c:v>58751</c:v>
                </c:pt>
                <c:pt idx="32">
                  <c:v>58751</c:v>
                </c:pt>
                <c:pt idx="33">
                  <c:v>58751</c:v>
                </c:pt>
                <c:pt idx="34">
                  <c:v>58751</c:v>
                </c:pt>
                <c:pt idx="35">
                  <c:v>58751</c:v>
                </c:pt>
                <c:pt idx="36">
                  <c:v>58751</c:v>
                </c:pt>
                <c:pt idx="37">
                  <c:v>58751</c:v>
                </c:pt>
                <c:pt idx="38">
                  <c:v>58751</c:v>
                </c:pt>
                <c:pt idx="39">
                  <c:v>58751</c:v>
                </c:pt>
                <c:pt idx="40">
                  <c:v>58751</c:v>
                </c:pt>
                <c:pt idx="41">
                  <c:v>58751</c:v>
                </c:pt>
                <c:pt idx="42">
                  <c:v>58751</c:v>
                </c:pt>
                <c:pt idx="43">
                  <c:v>58751</c:v>
                </c:pt>
                <c:pt idx="44">
                  <c:v>58751</c:v>
                </c:pt>
                <c:pt idx="45">
                  <c:v>58751</c:v>
                </c:pt>
                <c:pt idx="46">
                  <c:v>58751</c:v>
                </c:pt>
                <c:pt idx="47">
                  <c:v>58751</c:v>
                </c:pt>
                <c:pt idx="48">
                  <c:v>58751</c:v>
                </c:pt>
                <c:pt idx="49">
                  <c:v>58751</c:v>
                </c:pt>
                <c:pt idx="50">
                  <c:v>58751</c:v>
                </c:pt>
                <c:pt idx="51">
                  <c:v>58751</c:v>
                </c:pt>
                <c:pt idx="52">
                  <c:v>58751</c:v>
                </c:pt>
                <c:pt idx="53">
                  <c:v>58751</c:v>
                </c:pt>
                <c:pt idx="54">
                  <c:v>58751</c:v>
                </c:pt>
                <c:pt idx="55">
                  <c:v>58751</c:v>
                </c:pt>
                <c:pt idx="56">
                  <c:v>58751</c:v>
                </c:pt>
                <c:pt idx="57">
                  <c:v>58751</c:v>
                </c:pt>
                <c:pt idx="58">
                  <c:v>58751</c:v>
                </c:pt>
                <c:pt idx="59">
                  <c:v>58751</c:v>
                </c:pt>
                <c:pt idx="60">
                  <c:v>58751</c:v>
                </c:pt>
                <c:pt idx="61">
                  <c:v>58751</c:v>
                </c:pt>
                <c:pt idx="62">
                  <c:v>58751</c:v>
                </c:pt>
                <c:pt idx="63">
                  <c:v>58751</c:v>
                </c:pt>
                <c:pt idx="64">
                  <c:v>58751</c:v>
                </c:pt>
                <c:pt idx="65">
                  <c:v>58751</c:v>
                </c:pt>
                <c:pt idx="66">
                  <c:v>58751</c:v>
                </c:pt>
                <c:pt idx="67">
                  <c:v>58751</c:v>
                </c:pt>
                <c:pt idx="68">
                  <c:v>58751</c:v>
                </c:pt>
                <c:pt idx="69">
                  <c:v>58751</c:v>
                </c:pt>
                <c:pt idx="70">
                  <c:v>58751</c:v>
                </c:pt>
                <c:pt idx="71">
                  <c:v>58751</c:v>
                </c:pt>
                <c:pt idx="72">
                  <c:v>58751</c:v>
                </c:pt>
                <c:pt idx="73">
                  <c:v>58751</c:v>
                </c:pt>
                <c:pt idx="74">
                  <c:v>58751</c:v>
                </c:pt>
                <c:pt idx="75">
                  <c:v>58751</c:v>
                </c:pt>
                <c:pt idx="76">
                  <c:v>58751</c:v>
                </c:pt>
                <c:pt idx="77">
                  <c:v>58751</c:v>
                </c:pt>
                <c:pt idx="78">
                  <c:v>58751</c:v>
                </c:pt>
                <c:pt idx="79">
                  <c:v>58751</c:v>
                </c:pt>
                <c:pt idx="80">
                  <c:v>58751</c:v>
                </c:pt>
                <c:pt idx="81">
                  <c:v>58751</c:v>
                </c:pt>
                <c:pt idx="82">
                  <c:v>58751</c:v>
                </c:pt>
                <c:pt idx="83">
                  <c:v>58751</c:v>
                </c:pt>
                <c:pt idx="84">
                  <c:v>58751</c:v>
                </c:pt>
                <c:pt idx="85">
                  <c:v>58751</c:v>
                </c:pt>
                <c:pt idx="86">
                  <c:v>58751</c:v>
                </c:pt>
                <c:pt idx="87">
                  <c:v>58751</c:v>
                </c:pt>
                <c:pt idx="88">
                  <c:v>58751</c:v>
                </c:pt>
                <c:pt idx="89">
                  <c:v>58751</c:v>
                </c:pt>
                <c:pt idx="90">
                  <c:v>58751</c:v>
                </c:pt>
                <c:pt idx="91">
                  <c:v>58751</c:v>
                </c:pt>
                <c:pt idx="92">
                  <c:v>58751</c:v>
                </c:pt>
                <c:pt idx="93">
                  <c:v>58751</c:v>
                </c:pt>
                <c:pt idx="94">
                  <c:v>58751</c:v>
                </c:pt>
                <c:pt idx="95">
                  <c:v>58751</c:v>
                </c:pt>
                <c:pt idx="96">
                  <c:v>58751</c:v>
                </c:pt>
                <c:pt idx="97">
                  <c:v>58751</c:v>
                </c:pt>
                <c:pt idx="98">
                  <c:v>58751</c:v>
                </c:pt>
                <c:pt idx="99">
                  <c:v>58751</c:v>
                </c:pt>
                <c:pt idx="100">
                  <c:v>58751</c:v>
                </c:pt>
                <c:pt idx="101">
                  <c:v>58751</c:v>
                </c:pt>
                <c:pt idx="102">
                  <c:v>58751</c:v>
                </c:pt>
                <c:pt idx="103">
                  <c:v>58751</c:v>
                </c:pt>
                <c:pt idx="104">
                  <c:v>58751</c:v>
                </c:pt>
                <c:pt idx="105">
                  <c:v>58751</c:v>
                </c:pt>
                <c:pt idx="106">
                  <c:v>58751</c:v>
                </c:pt>
                <c:pt idx="107">
                  <c:v>58751</c:v>
                </c:pt>
                <c:pt idx="108">
                  <c:v>58751</c:v>
                </c:pt>
                <c:pt idx="109">
                  <c:v>58751</c:v>
                </c:pt>
                <c:pt idx="110">
                  <c:v>58751</c:v>
                </c:pt>
                <c:pt idx="111">
                  <c:v>58751</c:v>
                </c:pt>
                <c:pt idx="112">
                  <c:v>58751</c:v>
                </c:pt>
                <c:pt idx="113">
                  <c:v>58751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B-4EE4-B315-2A910A309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tteryCapacityHistory" displayName="BatteryCapacityHistory" ref="A1:E115" totalsRowShown="0">
  <autoFilter ref="A1:E115" xr:uid="{00000000-0009-0000-0100-000001000000}"/>
  <tableColumns count="5">
    <tableColumn id="1" xr3:uid="{00000000-0010-0000-0000-000001000000}" name="Period"/>
    <tableColumn id="2" xr3:uid="{00000000-0010-0000-0000-000002000000}" name="Full Charge Capacity (mWh)"/>
    <tableColumn id="3" xr3:uid="{00000000-0010-0000-0000-000003000000}" name="Design Capacity (mWh)"/>
    <tableColumn id="4" xr3:uid="{00000000-0010-0000-0000-000004000000}" name="Battery Health"/>
    <tableColumn id="5" xr3:uid="{00000000-0010-0000-0000-000005000000}" name="Capacity 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workbookViewId="0">
      <selection activeCell="E24" sqref="E24"/>
    </sheetView>
  </sheetViews>
  <sheetFormatPr defaultRowHeight="14.25"/>
  <cols>
    <col min="1" max="8" width="17" customWidth="1"/>
  </cols>
  <sheetData>
    <row r="1" spans="1:8" ht="32.1" customHeight="1">
      <c r="A1" s="23" t="s">
        <v>0</v>
      </c>
      <c r="B1" s="23" t="s">
        <v>0</v>
      </c>
      <c r="C1" s="23" t="s">
        <v>0</v>
      </c>
      <c r="D1" s="23" t="s">
        <v>0</v>
      </c>
      <c r="E1" s="23" t="s">
        <v>0</v>
      </c>
      <c r="F1" s="23" t="s">
        <v>0</v>
      </c>
      <c r="G1" s="23" t="s">
        <v>0</v>
      </c>
      <c r="H1" s="23" t="s">
        <v>0</v>
      </c>
    </row>
    <row r="2" spans="1:8" ht="32.1" customHeight="1">
      <c r="A2" s="23" t="s">
        <v>0</v>
      </c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</row>
    <row r="3" spans="1:8">
      <c r="A3" s="24" t="s">
        <v>1</v>
      </c>
      <c r="B3" s="24" t="s">
        <v>1</v>
      </c>
      <c r="C3" s="24" t="s">
        <v>1</v>
      </c>
      <c r="D3" s="24" t="s">
        <v>1</v>
      </c>
      <c r="E3" s="24" t="s">
        <v>1</v>
      </c>
      <c r="F3" s="24" t="s">
        <v>1</v>
      </c>
      <c r="G3" s="24" t="s">
        <v>1</v>
      </c>
      <c r="H3" s="24" t="s">
        <v>1</v>
      </c>
    </row>
    <row r="5" spans="1:8" ht="15">
      <c r="A5" s="25" t="s">
        <v>2</v>
      </c>
      <c r="B5" s="25" t="s">
        <v>2</v>
      </c>
      <c r="C5" s="27" t="s">
        <v>3</v>
      </c>
      <c r="D5" s="27" t="s">
        <v>3</v>
      </c>
      <c r="E5" s="27" t="s">
        <v>4</v>
      </c>
      <c r="F5" s="27" t="s">
        <v>4</v>
      </c>
      <c r="G5" s="29" t="s">
        <v>5</v>
      </c>
      <c r="H5" s="29" t="s">
        <v>5</v>
      </c>
    </row>
    <row r="6" spans="1:8">
      <c r="A6" s="26">
        <f>'Source &amp; Notes'!$B$17/'Source &amp; Notes'!$B$16</f>
        <v>0.82490510799816175</v>
      </c>
      <c r="B6" s="26"/>
      <c r="C6" s="28">
        <f>'Capacity History'!$D$115</f>
        <v>0.79317798845977094</v>
      </c>
      <c r="D6" s="28"/>
      <c r="E6" s="28">
        <f>1-A6</f>
        <v>0.17509489200183825</v>
      </c>
      <c r="F6" s="28"/>
      <c r="G6" s="30">
        <f>'Source &amp; Notes'!$B$21</f>
        <v>0.8</v>
      </c>
      <c r="H6" s="30"/>
    </row>
    <row r="7" spans="1:8">
      <c r="A7" s="26"/>
      <c r="B7" s="26"/>
      <c r="C7" s="28"/>
      <c r="D7" s="28"/>
      <c r="E7" s="28"/>
      <c r="F7" s="28"/>
      <c r="G7" s="30"/>
      <c r="H7" s="30"/>
    </row>
    <row r="9" spans="1:8" ht="15.75">
      <c r="A9" s="31" t="s">
        <v>6</v>
      </c>
      <c r="B9" s="31" t="s">
        <v>6</v>
      </c>
      <c r="C9" s="31" t="s">
        <v>6</v>
      </c>
      <c r="D9" s="31" t="s">
        <v>6</v>
      </c>
      <c r="E9" s="31" t="s">
        <v>6</v>
      </c>
      <c r="F9" s="31" t="s">
        <v>6</v>
      </c>
      <c r="G9" s="31" t="s">
        <v>6</v>
      </c>
      <c r="H9" s="31" t="s">
        <v>6</v>
      </c>
    </row>
    <row r="10" spans="1:8">
      <c r="A10" s="32" t="str">
        <f>IF(AND(A6&gt;='Source &amp; Notes'!$B$21,C6&gt;='Source &amp; Notes'!$B$21),"ยังไม่จำเป็นต้องเปลี่ยน",IF(A6&lt;70%,"ควรเปลี่ยนโดยเร็ว","ควรวางแผนเปลี่ยน และตรวจยืนยันอีกครั้ง"))</f>
        <v>ควรวางแผนเปลี่ยน และตรวจยืนยันอีกครั้ง</v>
      </c>
      <c r="B10" s="33"/>
      <c r="C10" s="33"/>
      <c r="D10" s="33"/>
      <c r="E10" s="33"/>
      <c r="F10" s="33"/>
      <c r="G10" s="33"/>
      <c r="H10" s="34"/>
    </row>
    <row r="11" spans="1:8">
      <c r="A11" s="35"/>
      <c r="B11" s="36"/>
      <c r="C11" s="36"/>
      <c r="D11" s="36"/>
      <c r="E11" s="36"/>
      <c r="F11" s="36"/>
      <c r="G11" s="36"/>
      <c r="H11" s="37"/>
    </row>
    <row r="12" spans="1:8">
      <c r="A12" s="38"/>
      <c r="B12" s="39"/>
      <c r="C12" s="39"/>
      <c r="D12" s="39"/>
      <c r="E12" s="39"/>
      <c r="F12" s="39"/>
      <c r="G12" s="39"/>
      <c r="H12" s="40"/>
    </row>
    <row r="14" spans="1:8" ht="15">
      <c r="A14" s="41" t="s">
        <v>7</v>
      </c>
      <c r="B14" s="41" t="s">
        <v>7</v>
      </c>
      <c r="C14" s="41" t="s">
        <v>7</v>
      </c>
      <c r="D14" s="41" t="s">
        <v>7</v>
      </c>
      <c r="E14" s="41" t="s">
        <v>7</v>
      </c>
      <c r="F14" s="41" t="s">
        <v>7</v>
      </c>
      <c r="G14" s="41" t="s">
        <v>7</v>
      </c>
      <c r="H14" s="41" t="s">
        <v>7</v>
      </c>
    </row>
    <row r="15" spans="1:8" ht="24" customHeight="1">
      <c r="A15" s="42" t="s">
        <v>8</v>
      </c>
      <c r="B15" s="43" t="s">
        <v>8</v>
      </c>
      <c r="C15" s="43" t="s">
        <v>8</v>
      </c>
      <c r="D15" s="43" t="s">
        <v>8</v>
      </c>
      <c r="E15" s="43" t="s">
        <v>8</v>
      </c>
      <c r="F15" s="43" t="s">
        <v>8</v>
      </c>
      <c r="G15" s="43" t="s">
        <v>8</v>
      </c>
      <c r="H15" s="44" t="s">
        <v>8</v>
      </c>
    </row>
    <row r="16" spans="1:8" ht="24" customHeight="1">
      <c r="A16" s="45" t="s">
        <v>8</v>
      </c>
      <c r="B16" s="46" t="s">
        <v>8</v>
      </c>
      <c r="C16" s="46" t="s">
        <v>8</v>
      </c>
      <c r="D16" s="46" t="s">
        <v>8</v>
      </c>
      <c r="E16" s="46" t="s">
        <v>8</v>
      </c>
      <c r="F16" s="46" t="s">
        <v>8</v>
      </c>
      <c r="G16" s="46" t="s">
        <v>8</v>
      </c>
      <c r="H16" s="47" t="s">
        <v>8</v>
      </c>
    </row>
    <row r="17" spans="1:8" ht="24" customHeight="1">
      <c r="A17" s="45" t="s">
        <v>8</v>
      </c>
      <c r="B17" s="46" t="s">
        <v>8</v>
      </c>
      <c r="C17" s="46" t="s">
        <v>8</v>
      </c>
      <c r="D17" s="46" t="s">
        <v>8</v>
      </c>
      <c r="E17" s="46" t="s">
        <v>8</v>
      </c>
      <c r="F17" s="46" t="s">
        <v>8</v>
      </c>
      <c r="G17" s="46" t="s">
        <v>8</v>
      </c>
      <c r="H17" s="47" t="s">
        <v>8</v>
      </c>
    </row>
    <row r="18" spans="1:8" ht="24" customHeight="1">
      <c r="A18" s="45" t="s">
        <v>8</v>
      </c>
      <c r="B18" s="46" t="s">
        <v>8</v>
      </c>
      <c r="C18" s="46" t="s">
        <v>8</v>
      </c>
      <c r="D18" s="46" t="s">
        <v>8</v>
      </c>
      <c r="E18" s="46" t="s">
        <v>8</v>
      </c>
      <c r="F18" s="46" t="s">
        <v>8</v>
      </c>
      <c r="G18" s="46" t="s">
        <v>8</v>
      </c>
      <c r="H18" s="47" t="s">
        <v>8</v>
      </c>
    </row>
    <row r="19" spans="1:8" ht="24" customHeight="1">
      <c r="A19" s="45" t="s">
        <v>8</v>
      </c>
      <c r="B19" s="46" t="s">
        <v>8</v>
      </c>
      <c r="C19" s="46" t="s">
        <v>8</v>
      </c>
      <c r="D19" s="46" t="s">
        <v>8</v>
      </c>
      <c r="E19" s="46" t="s">
        <v>8</v>
      </c>
      <c r="F19" s="46" t="s">
        <v>8</v>
      </c>
      <c r="G19" s="46" t="s">
        <v>8</v>
      </c>
      <c r="H19" s="47" t="s">
        <v>8</v>
      </c>
    </row>
    <row r="20" spans="1:8" ht="24" customHeight="1">
      <c r="A20" s="48" t="s">
        <v>8</v>
      </c>
      <c r="B20" s="49" t="s">
        <v>8</v>
      </c>
      <c r="C20" s="49" t="s">
        <v>8</v>
      </c>
      <c r="D20" s="49" t="s">
        <v>8</v>
      </c>
      <c r="E20" s="49" t="s">
        <v>8</v>
      </c>
      <c r="F20" s="49" t="s">
        <v>8</v>
      </c>
      <c r="G20" s="49" t="s">
        <v>8</v>
      </c>
      <c r="H20" s="50" t="s">
        <v>8</v>
      </c>
    </row>
    <row r="21" spans="1:8" ht="24" customHeight="1">
      <c r="A21" s="53"/>
      <c r="B21" s="53"/>
      <c r="C21" s="53"/>
      <c r="D21" s="53"/>
      <c r="E21" s="53"/>
      <c r="F21" s="53"/>
      <c r="G21" s="53"/>
      <c r="H21" s="53"/>
    </row>
    <row r="22" spans="1:8">
      <c r="A22" s="54" t="s">
        <v>162</v>
      </c>
      <c r="B22" s="54" t="s">
        <v>163</v>
      </c>
      <c r="C22" s="54"/>
      <c r="D22" s="54"/>
      <c r="E22" s="54" t="s">
        <v>164</v>
      </c>
      <c r="F22" s="54" t="s">
        <v>165</v>
      </c>
    </row>
    <row r="23" spans="1:8">
      <c r="A23" s="51">
        <v>510000005937</v>
      </c>
      <c r="B23" t="s">
        <v>166</v>
      </c>
      <c r="E23" s="52">
        <v>45478</v>
      </c>
      <c r="F23" s="2">
        <v>13226</v>
      </c>
    </row>
  </sheetData>
  <mergeCells count="14">
    <mergeCell ref="A9:H9"/>
    <mergeCell ref="A10:H12"/>
    <mergeCell ref="A14:H14"/>
    <mergeCell ref="A15:H20"/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5"/>
  <sheetViews>
    <sheetView showGridLines="0" workbookViewId="0"/>
  </sheetViews>
  <sheetFormatPr defaultRowHeight="14.25"/>
  <cols>
    <col min="1" max="2" width="24" customWidth="1"/>
    <col min="3" max="3" width="22" customWidth="1"/>
    <col min="4" max="5" width="16" customWidth="1"/>
  </cols>
  <sheetData>
    <row r="1" spans="1:5" ht="32.1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3" t="s">
        <v>14</v>
      </c>
      <c r="B2" s="4">
        <v>59321</v>
      </c>
      <c r="C2" s="4">
        <v>58751</v>
      </c>
      <c r="D2" s="5">
        <f t="shared" ref="D2:D33" si="0">B2/C2</f>
        <v>1.0097019625197869</v>
      </c>
      <c r="E2" s="5">
        <f t="shared" ref="E2:E33" si="1">1-D2</f>
        <v>-9.7019625197869441E-3</v>
      </c>
    </row>
    <row r="3" spans="1:5">
      <c r="A3" s="6" t="s">
        <v>15</v>
      </c>
      <c r="B3" s="7">
        <v>58657</v>
      </c>
      <c r="C3" s="7">
        <v>58751</v>
      </c>
      <c r="D3" s="8">
        <f t="shared" si="0"/>
        <v>0.99840002723357901</v>
      </c>
      <c r="E3" s="8">
        <f t="shared" si="1"/>
        <v>1.5999727664209873E-3</v>
      </c>
    </row>
    <row r="4" spans="1:5">
      <c r="A4" s="6" t="s">
        <v>16</v>
      </c>
      <c r="B4" s="7">
        <v>59100</v>
      </c>
      <c r="C4" s="7">
        <v>58751</v>
      </c>
      <c r="D4" s="8">
        <f t="shared" si="0"/>
        <v>1.0059403244200098</v>
      </c>
      <c r="E4" s="8">
        <f t="shared" si="1"/>
        <v>-5.9403244200098015E-3</v>
      </c>
    </row>
    <row r="5" spans="1:5">
      <c r="A5" s="6" t="s">
        <v>17</v>
      </c>
      <c r="B5" s="7">
        <v>58766</v>
      </c>
      <c r="C5" s="7">
        <v>58751</v>
      </c>
      <c r="D5" s="8">
        <f t="shared" si="0"/>
        <v>1.0002553148031523</v>
      </c>
      <c r="E5" s="8">
        <f t="shared" si="1"/>
        <v>-2.5531480315232891E-4</v>
      </c>
    </row>
    <row r="6" spans="1:5">
      <c r="A6" s="6" t="s">
        <v>18</v>
      </c>
      <c r="B6" s="7">
        <v>59073</v>
      </c>
      <c r="C6" s="7">
        <v>58751</v>
      </c>
      <c r="D6" s="8">
        <f t="shared" si="0"/>
        <v>1.0054807577743357</v>
      </c>
      <c r="E6" s="8">
        <f t="shared" si="1"/>
        <v>-5.4807577743356539E-3</v>
      </c>
    </row>
    <row r="7" spans="1:5">
      <c r="A7" s="6" t="s">
        <v>19</v>
      </c>
      <c r="B7" s="7">
        <v>59574</v>
      </c>
      <c r="C7" s="7">
        <v>58751</v>
      </c>
      <c r="D7" s="8">
        <f t="shared" si="0"/>
        <v>1.0140082721996222</v>
      </c>
      <c r="E7" s="8">
        <f t="shared" si="1"/>
        <v>-1.4008272199622196E-2</v>
      </c>
    </row>
    <row r="8" spans="1:5">
      <c r="A8" s="6" t="s">
        <v>20</v>
      </c>
      <c r="B8" s="7">
        <v>59706</v>
      </c>
      <c r="C8" s="7">
        <v>58751</v>
      </c>
      <c r="D8" s="8">
        <f t="shared" si="0"/>
        <v>1.0162550424673622</v>
      </c>
      <c r="E8" s="8">
        <f t="shared" si="1"/>
        <v>-1.6255042467362202E-2</v>
      </c>
    </row>
    <row r="9" spans="1:5">
      <c r="A9" s="6" t="s">
        <v>21</v>
      </c>
      <c r="B9" s="7">
        <v>59706</v>
      </c>
      <c r="C9" s="7">
        <v>58751</v>
      </c>
      <c r="D9" s="8">
        <f t="shared" si="0"/>
        <v>1.0162550424673622</v>
      </c>
      <c r="E9" s="8">
        <f t="shared" si="1"/>
        <v>-1.6255042467362202E-2</v>
      </c>
    </row>
    <row r="10" spans="1:5">
      <c r="A10" s="6" t="s">
        <v>22</v>
      </c>
      <c r="B10" s="7">
        <v>57713</v>
      </c>
      <c r="C10" s="7">
        <v>58751</v>
      </c>
      <c r="D10" s="8">
        <f t="shared" si="0"/>
        <v>0.98233221562186179</v>
      </c>
      <c r="E10" s="8">
        <f t="shared" si="1"/>
        <v>1.7667784378138207E-2</v>
      </c>
    </row>
    <row r="11" spans="1:5">
      <c r="A11" s="6" t="s">
        <v>23</v>
      </c>
      <c r="B11" s="7">
        <v>57685</v>
      </c>
      <c r="C11" s="7">
        <v>58751</v>
      </c>
      <c r="D11" s="8">
        <f t="shared" si="0"/>
        <v>0.98185562798931081</v>
      </c>
      <c r="E11" s="8">
        <f t="shared" si="1"/>
        <v>1.8144372010689191E-2</v>
      </c>
    </row>
    <row r="12" spans="1:5">
      <c r="A12" s="6" t="s">
        <v>24</v>
      </c>
      <c r="B12" s="7">
        <v>58059</v>
      </c>
      <c r="C12" s="7">
        <v>58751</v>
      </c>
      <c r="D12" s="8">
        <f t="shared" si="0"/>
        <v>0.9882214770812412</v>
      </c>
      <c r="E12" s="8">
        <f t="shared" si="1"/>
        <v>1.1778522918758805E-2</v>
      </c>
    </row>
    <row r="13" spans="1:5">
      <c r="A13" s="6" t="s">
        <v>25</v>
      </c>
      <c r="B13" s="7">
        <v>57202</v>
      </c>
      <c r="C13" s="7">
        <v>58751</v>
      </c>
      <c r="D13" s="8">
        <f t="shared" si="0"/>
        <v>0.97363449132780722</v>
      </c>
      <c r="E13" s="8">
        <f t="shared" si="1"/>
        <v>2.6365508672192783E-2</v>
      </c>
    </row>
    <row r="14" spans="1:5">
      <c r="A14" s="6" t="s">
        <v>26</v>
      </c>
      <c r="B14" s="7">
        <v>58375</v>
      </c>
      <c r="C14" s="7">
        <v>58751</v>
      </c>
      <c r="D14" s="8">
        <f t="shared" si="0"/>
        <v>0.99360010893431605</v>
      </c>
      <c r="E14" s="8">
        <f t="shared" si="1"/>
        <v>6.3998910656839492E-3</v>
      </c>
    </row>
    <row r="15" spans="1:5">
      <c r="A15" s="6" t="s">
        <v>27</v>
      </c>
      <c r="B15" s="7">
        <v>58489</v>
      </c>
      <c r="C15" s="7">
        <v>58751</v>
      </c>
      <c r="D15" s="8">
        <f t="shared" si="0"/>
        <v>0.99554050143827344</v>
      </c>
      <c r="E15" s="8">
        <f t="shared" si="1"/>
        <v>4.4594985617265603E-3</v>
      </c>
    </row>
    <row r="16" spans="1:5">
      <c r="A16" s="6" t="s">
        <v>28</v>
      </c>
      <c r="B16" s="7">
        <v>58667</v>
      </c>
      <c r="C16" s="7">
        <v>58751</v>
      </c>
      <c r="D16" s="8">
        <f t="shared" si="0"/>
        <v>0.99857023710234716</v>
      </c>
      <c r="E16" s="8">
        <f t="shared" si="1"/>
        <v>1.429762897652842E-3</v>
      </c>
    </row>
    <row r="17" spans="1:5">
      <c r="A17" s="6" t="s">
        <v>29</v>
      </c>
      <c r="B17" s="7">
        <v>58170</v>
      </c>
      <c r="C17" s="7">
        <v>58751</v>
      </c>
      <c r="D17" s="8">
        <f t="shared" si="0"/>
        <v>0.99011080662456807</v>
      </c>
      <c r="E17" s="8">
        <f t="shared" si="1"/>
        <v>9.8891933754319261E-3</v>
      </c>
    </row>
    <row r="18" spans="1:5">
      <c r="A18" s="6" t="s">
        <v>30</v>
      </c>
      <c r="B18" s="7">
        <v>57827</v>
      </c>
      <c r="C18" s="7">
        <v>58751</v>
      </c>
      <c r="D18" s="8">
        <f t="shared" si="0"/>
        <v>0.98427260812581918</v>
      </c>
      <c r="E18" s="8">
        <f t="shared" si="1"/>
        <v>1.5727391874180818E-2</v>
      </c>
    </row>
    <row r="19" spans="1:5">
      <c r="A19" s="6" t="s">
        <v>31</v>
      </c>
      <c r="B19" s="7">
        <v>55827</v>
      </c>
      <c r="C19" s="7">
        <v>58751</v>
      </c>
      <c r="D19" s="8">
        <f t="shared" si="0"/>
        <v>0.95023063437218092</v>
      </c>
      <c r="E19" s="8">
        <f t="shared" si="1"/>
        <v>4.9769365627819084E-2</v>
      </c>
    </row>
    <row r="20" spans="1:5">
      <c r="A20" s="6" t="s">
        <v>32</v>
      </c>
      <c r="B20" s="7">
        <v>56020</v>
      </c>
      <c r="C20" s="7">
        <v>58751</v>
      </c>
      <c r="D20" s="8">
        <f t="shared" si="0"/>
        <v>0.95351568483940696</v>
      </c>
      <c r="E20" s="8">
        <f t="shared" si="1"/>
        <v>4.6484315160593037E-2</v>
      </c>
    </row>
    <row r="21" spans="1:5">
      <c r="A21" s="6" t="s">
        <v>33</v>
      </c>
      <c r="B21" s="7">
        <v>55024</v>
      </c>
      <c r="C21" s="7">
        <v>58751</v>
      </c>
      <c r="D21" s="8">
        <f t="shared" si="0"/>
        <v>0.93656278191009512</v>
      </c>
      <c r="E21" s="8">
        <f t="shared" si="1"/>
        <v>6.3437218089904879E-2</v>
      </c>
    </row>
    <row r="22" spans="1:5">
      <c r="A22" s="6" t="s">
        <v>34</v>
      </c>
      <c r="B22" s="7">
        <v>55758</v>
      </c>
      <c r="C22" s="7">
        <v>58751</v>
      </c>
      <c r="D22" s="8">
        <f t="shared" si="0"/>
        <v>0.9490561862776804</v>
      </c>
      <c r="E22" s="8">
        <f t="shared" si="1"/>
        <v>5.0943813722319597E-2</v>
      </c>
    </row>
    <row r="23" spans="1:5">
      <c r="A23" s="6" t="s">
        <v>35</v>
      </c>
      <c r="B23" s="7">
        <v>54989</v>
      </c>
      <c r="C23" s="7">
        <v>58751</v>
      </c>
      <c r="D23" s="8">
        <f t="shared" si="0"/>
        <v>0.9359670473694065</v>
      </c>
      <c r="E23" s="8">
        <f t="shared" si="1"/>
        <v>6.4032952630593498E-2</v>
      </c>
    </row>
    <row r="24" spans="1:5">
      <c r="A24" s="6" t="s">
        <v>36</v>
      </c>
      <c r="B24" s="7">
        <v>56684</v>
      </c>
      <c r="C24" s="7">
        <v>58751</v>
      </c>
      <c r="D24" s="8">
        <f t="shared" si="0"/>
        <v>0.96481762012561489</v>
      </c>
      <c r="E24" s="8">
        <f t="shared" si="1"/>
        <v>3.5182379874385106E-2</v>
      </c>
    </row>
    <row r="25" spans="1:5">
      <c r="A25" s="6" t="s">
        <v>37</v>
      </c>
      <c r="B25" s="7">
        <v>55197</v>
      </c>
      <c r="C25" s="7">
        <v>58751</v>
      </c>
      <c r="D25" s="8">
        <f t="shared" si="0"/>
        <v>0.93950741263978488</v>
      </c>
      <c r="E25" s="8">
        <f t="shared" si="1"/>
        <v>6.0492587360215122E-2</v>
      </c>
    </row>
    <row r="26" spans="1:5">
      <c r="A26" s="6" t="s">
        <v>38</v>
      </c>
      <c r="B26" s="7">
        <v>55360</v>
      </c>
      <c r="C26" s="7">
        <v>58751</v>
      </c>
      <c r="D26" s="8">
        <f t="shared" si="0"/>
        <v>0.94228183350070638</v>
      </c>
      <c r="E26" s="8">
        <f t="shared" si="1"/>
        <v>5.7718166499293622E-2</v>
      </c>
    </row>
    <row r="27" spans="1:5">
      <c r="A27" s="6" t="s">
        <v>39</v>
      </c>
      <c r="B27" s="7">
        <v>55704</v>
      </c>
      <c r="C27" s="7">
        <v>58751</v>
      </c>
      <c r="D27" s="8">
        <f t="shared" si="0"/>
        <v>0.94813705298633211</v>
      </c>
      <c r="E27" s="8">
        <f t="shared" si="1"/>
        <v>5.1862947013667893E-2</v>
      </c>
    </row>
    <row r="28" spans="1:5">
      <c r="A28" s="6" t="s">
        <v>40</v>
      </c>
      <c r="B28" s="7">
        <v>54129</v>
      </c>
      <c r="C28" s="7">
        <v>58751</v>
      </c>
      <c r="D28" s="8">
        <f t="shared" si="0"/>
        <v>0.92132899865534201</v>
      </c>
      <c r="E28" s="8">
        <f t="shared" si="1"/>
        <v>7.8671001344657987E-2</v>
      </c>
    </row>
    <row r="29" spans="1:5">
      <c r="A29" s="6" t="s">
        <v>41</v>
      </c>
      <c r="B29" s="7">
        <v>53889</v>
      </c>
      <c r="C29" s="7">
        <v>58751</v>
      </c>
      <c r="D29" s="8">
        <f t="shared" si="0"/>
        <v>0.91724396180490542</v>
      </c>
      <c r="E29" s="8">
        <f t="shared" si="1"/>
        <v>8.2756038195094583E-2</v>
      </c>
    </row>
    <row r="30" spans="1:5">
      <c r="A30" s="6" t="s">
        <v>42</v>
      </c>
      <c r="B30" s="7">
        <v>54256</v>
      </c>
      <c r="C30" s="7">
        <v>58751</v>
      </c>
      <c r="D30" s="8">
        <f t="shared" si="0"/>
        <v>0.92349066398869806</v>
      </c>
      <c r="E30" s="8">
        <f t="shared" si="1"/>
        <v>7.6509336011301943E-2</v>
      </c>
    </row>
    <row r="31" spans="1:5">
      <c r="A31" s="6" t="s">
        <v>43</v>
      </c>
      <c r="B31" s="7">
        <v>54025</v>
      </c>
      <c r="C31" s="7">
        <v>58751</v>
      </c>
      <c r="D31" s="8">
        <f t="shared" si="0"/>
        <v>0.91955881602015288</v>
      </c>
      <c r="E31" s="8">
        <f t="shared" si="1"/>
        <v>8.044118397984712E-2</v>
      </c>
    </row>
    <row r="32" spans="1:5">
      <c r="A32" s="6" t="s">
        <v>44</v>
      </c>
      <c r="B32" s="7">
        <v>54826</v>
      </c>
      <c r="C32" s="7">
        <v>58751</v>
      </c>
      <c r="D32" s="8">
        <f t="shared" si="0"/>
        <v>0.933192626508485</v>
      </c>
      <c r="E32" s="8">
        <f t="shared" si="1"/>
        <v>6.6807373491514999E-2</v>
      </c>
    </row>
    <row r="33" spans="1:5">
      <c r="A33" s="6" t="s">
        <v>45</v>
      </c>
      <c r="B33" s="7">
        <v>54528</v>
      </c>
      <c r="C33" s="7">
        <v>58751</v>
      </c>
      <c r="D33" s="8">
        <f t="shared" si="0"/>
        <v>0.92812037241919287</v>
      </c>
      <c r="E33" s="8">
        <f t="shared" si="1"/>
        <v>7.1879627580807126E-2</v>
      </c>
    </row>
    <row r="34" spans="1:5">
      <c r="A34" s="6" t="s">
        <v>46</v>
      </c>
      <c r="B34" s="7">
        <v>54403</v>
      </c>
      <c r="C34" s="7">
        <v>58751</v>
      </c>
      <c r="D34" s="8">
        <f t="shared" ref="D34:D65" si="2">B34/C34</f>
        <v>0.9259927490595905</v>
      </c>
      <c r="E34" s="8">
        <f t="shared" ref="E34:E65" si="3">1-D34</f>
        <v>7.4007250940409497E-2</v>
      </c>
    </row>
    <row r="35" spans="1:5">
      <c r="A35" s="6" t="s">
        <v>47</v>
      </c>
      <c r="B35" s="7">
        <v>52580</v>
      </c>
      <c r="C35" s="7">
        <v>58751</v>
      </c>
      <c r="D35" s="8">
        <f t="shared" si="2"/>
        <v>0.89496348998314923</v>
      </c>
      <c r="E35" s="8">
        <f t="shared" si="3"/>
        <v>0.10503651001685077</v>
      </c>
    </row>
    <row r="36" spans="1:5">
      <c r="A36" s="6" t="s">
        <v>48</v>
      </c>
      <c r="B36" s="7">
        <v>52067</v>
      </c>
      <c r="C36" s="7">
        <v>58751</v>
      </c>
      <c r="D36" s="8">
        <f t="shared" si="2"/>
        <v>0.88623172371534098</v>
      </c>
      <c r="E36" s="8">
        <f t="shared" si="3"/>
        <v>0.11376827628465902</v>
      </c>
    </row>
    <row r="37" spans="1:5">
      <c r="A37" s="6" t="s">
        <v>49</v>
      </c>
      <c r="B37" s="7">
        <v>51059</v>
      </c>
      <c r="C37" s="7">
        <v>58751</v>
      </c>
      <c r="D37" s="8">
        <f t="shared" si="2"/>
        <v>0.86907456894350732</v>
      </c>
      <c r="E37" s="8">
        <f t="shared" si="3"/>
        <v>0.13092543105649268</v>
      </c>
    </row>
    <row r="38" spans="1:5">
      <c r="A38" s="6" t="s">
        <v>50</v>
      </c>
      <c r="B38" s="7">
        <v>49580</v>
      </c>
      <c r="C38" s="7">
        <v>58751</v>
      </c>
      <c r="D38" s="8">
        <f t="shared" si="2"/>
        <v>0.84390052935269189</v>
      </c>
      <c r="E38" s="8">
        <f t="shared" si="3"/>
        <v>0.15609947064730811</v>
      </c>
    </row>
    <row r="39" spans="1:5">
      <c r="A39" s="6" t="s">
        <v>51</v>
      </c>
      <c r="B39" s="7">
        <v>47562</v>
      </c>
      <c r="C39" s="7">
        <v>58751</v>
      </c>
      <c r="D39" s="8">
        <f t="shared" si="2"/>
        <v>0.80955217783527089</v>
      </c>
      <c r="E39" s="8">
        <f t="shared" si="3"/>
        <v>0.19044782216472911</v>
      </c>
    </row>
    <row r="40" spans="1:5">
      <c r="A40" s="6" t="s">
        <v>52</v>
      </c>
      <c r="B40" s="7">
        <v>51415</v>
      </c>
      <c r="C40" s="7">
        <v>58751</v>
      </c>
      <c r="D40" s="8">
        <f t="shared" si="2"/>
        <v>0.87513404027165498</v>
      </c>
      <c r="E40" s="8">
        <f t="shared" si="3"/>
        <v>0.12486595972834502</v>
      </c>
    </row>
    <row r="41" spans="1:5">
      <c r="A41" s="6" t="s">
        <v>53</v>
      </c>
      <c r="B41" s="7">
        <v>51637</v>
      </c>
      <c r="C41" s="7">
        <v>58751</v>
      </c>
      <c r="D41" s="8">
        <f t="shared" si="2"/>
        <v>0.87891269935830885</v>
      </c>
      <c r="E41" s="8">
        <f t="shared" si="3"/>
        <v>0.12108730064169115</v>
      </c>
    </row>
    <row r="42" spans="1:5">
      <c r="A42" s="6" t="s">
        <v>54</v>
      </c>
      <c r="B42" s="7">
        <v>50990</v>
      </c>
      <c r="C42" s="7">
        <v>58751</v>
      </c>
      <c r="D42" s="8">
        <f t="shared" si="2"/>
        <v>0.86790012084900681</v>
      </c>
      <c r="E42" s="8">
        <f t="shared" si="3"/>
        <v>0.13209987915099319</v>
      </c>
    </row>
    <row r="43" spans="1:5">
      <c r="A43" s="6" t="s">
        <v>55</v>
      </c>
      <c r="B43" s="7">
        <v>50240</v>
      </c>
      <c r="C43" s="7">
        <v>58751</v>
      </c>
      <c r="D43" s="8">
        <f t="shared" si="2"/>
        <v>0.85513438069139247</v>
      </c>
      <c r="E43" s="8">
        <f t="shared" si="3"/>
        <v>0.14486561930860753</v>
      </c>
    </row>
    <row r="44" spans="1:5">
      <c r="A44" s="6" t="s">
        <v>56</v>
      </c>
      <c r="B44" s="7">
        <v>51031</v>
      </c>
      <c r="C44" s="7">
        <v>58751</v>
      </c>
      <c r="D44" s="8">
        <f t="shared" si="2"/>
        <v>0.86859798131095645</v>
      </c>
      <c r="E44" s="8">
        <f t="shared" si="3"/>
        <v>0.13140201868904355</v>
      </c>
    </row>
    <row r="45" spans="1:5">
      <c r="A45" s="6" t="s">
        <v>57</v>
      </c>
      <c r="B45" s="7">
        <v>49638</v>
      </c>
      <c r="C45" s="7">
        <v>58751</v>
      </c>
      <c r="D45" s="8">
        <f t="shared" si="2"/>
        <v>0.84488774659154742</v>
      </c>
      <c r="E45" s="8">
        <f t="shared" si="3"/>
        <v>0.15511225340845258</v>
      </c>
    </row>
    <row r="46" spans="1:5">
      <c r="A46" s="6" t="s">
        <v>58</v>
      </c>
      <c r="B46" s="7">
        <v>45076</v>
      </c>
      <c r="C46" s="7">
        <v>58751</v>
      </c>
      <c r="D46" s="8">
        <f t="shared" si="2"/>
        <v>0.76723800445949852</v>
      </c>
      <c r="E46" s="8">
        <f t="shared" si="3"/>
        <v>0.23276199554050148</v>
      </c>
    </row>
    <row r="47" spans="1:5">
      <c r="A47" s="6" t="s">
        <v>59</v>
      </c>
      <c r="B47" s="7">
        <v>46335</v>
      </c>
      <c r="C47" s="7">
        <v>58751</v>
      </c>
      <c r="D47" s="8">
        <f t="shared" si="2"/>
        <v>0.78866742693741387</v>
      </c>
      <c r="E47" s="8">
        <f t="shared" si="3"/>
        <v>0.21133257306258613</v>
      </c>
    </row>
    <row r="48" spans="1:5">
      <c r="A48" s="6" t="s">
        <v>60</v>
      </c>
      <c r="B48" s="7">
        <v>50234</v>
      </c>
      <c r="C48" s="7">
        <v>58751</v>
      </c>
      <c r="D48" s="8">
        <f t="shared" si="2"/>
        <v>0.85503225477013156</v>
      </c>
      <c r="E48" s="8">
        <f t="shared" si="3"/>
        <v>0.14496774522986844</v>
      </c>
    </row>
    <row r="49" spans="1:5">
      <c r="A49" s="6" t="s">
        <v>61</v>
      </c>
      <c r="B49" s="7">
        <v>48711</v>
      </c>
      <c r="C49" s="7">
        <v>58751</v>
      </c>
      <c r="D49" s="8">
        <f t="shared" si="2"/>
        <v>0.82910929175673609</v>
      </c>
      <c r="E49" s="8">
        <f t="shared" si="3"/>
        <v>0.17089070824326391</v>
      </c>
    </row>
    <row r="50" spans="1:5">
      <c r="A50" s="6" t="s">
        <v>62</v>
      </c>
      <c r="B50" s="7">
        <v>52943</v>
      </c>
      <c r="C50" s="7">
        <v>58751</v>
      </c>
      <c r="D50" s="8">
        <f t="shared" si="2"/>
        <v>0.90114210821943452</v>
      </c>
      <c r="E50" s="8">
        <f t="shared" si="3"/>
        <v>9.8857891780565477E-2</v>
      </c>
    </row>
    <row r="51" spans="1:5">
      <c r="A51" s="6" t="s">
        <v>63</v>
      </c>
      <c r="B51" s="7">
        <v>52034</v>
      </c>
      <c r="C51" s="7">
        <v>58751</v>
      </c>
      <c r="D51" s="8">
        <f t="shared" si="2"/>
        <v>0.88567003114840603</v>
      </c>
      <c r="E51" s="8">
        <f t="shared" si="3"/>
        <v>0.11432996885159397</v>
      </c>
    </row>
    <row r="52" spans="1:5">
      <c r="A52" s="6" t="s">
        <v>64</v>
      </c>
      <c r="B52" s="7">
        <v>51424</v>
      </c>
      <c r="C52" s="7">
        <v>58751</v>
      </c>
      <c r="D52" s="8">
        <f t="shared" si="2"/>
        <v>0.87528722915354629</v>
      </c>
      <c r="E52" s="8">
        <f t="shared" si="3"/>
        <v>0.12471277084645371</v>
      </c>
    </row>
    <row r="53" spans="1:5">
      <c r="A53" s="6" t="s">
        <v>65</v>
      </c>
      <c r="B53" s="7">
        <v>50231</v>
      </c>
      <c r="C53" s="7">
        <v>58751</v>
      </c>
      <c r="D53" s="8">
        <f t="shared" si="2"/>
        <v>0.85498119180950116</v>
      </c>
      <c r="E53" s="8">
        <f t="shared" si="3"/>
        <v>0.14501880819049884</v>
      </c>
    </row>
    <row r="54" spans="1:5">
      <c r="A54" s="6" t="s">
        <v>66</v>
      </c>
      <c r="B54" s="7">
        <v>48118</v>
      </c>
      <c r="C54" s="7">
        <v>58751</v>
      </c>
      <c r="D54" s="8">
        <f t="shared" si="2"/>
        <v>0.81901584653878234</v>
      </c>
      <c r="E54" s="8">
        <f t="shared" si="3"/>
        <v>0.18098415346121766</v>
      </c>
    </row>
    <row r="55" spans="1:5">
      <c r="A55" s="6" t="s">
        <v>67</v>
      </c>
      <c r="B55" s="7">
        <v>51771</v>
      </c>
      <c r="C55" s="7">
        <v>58751</v>
      </c>
      <c r="D55" s="8">
        <f t="shared" si="2"/>
        <v>0.88119351159980253</v>
      </c>
      <c r="E55" s="8">
        <f t="shared" si="3"/>
        <v>0.11880648840019747</v>
      </c>
    </row>
    <row r="56" spans="1:5">
      <c r="A56" s="6" t="s">
        <v>68</v>
      </c>
      <c r="B56" s="7">
        <v>52320</v>
      </c>
      <c r="C56" s="7">
        <v>58751</v>
      </c>
      <c r="D56" s="8">
        <f t="shared" si="2"/>
        <v>0.89053803339517623</v>
      </c>
      <c r="E56" s="8">
        <f t="shared" si="3"/>
        <v>0.10946196660482377</v>
      </c>
    </row>
    <row r="57" spans="1:5">
      <c r="A57" s="6" t="s">
        <v>69</v>
      </c>
      <c r="B57" s="7">
        <v>53242</v>
      </c>
      <c r="C57" s="7">
        <v>58751</v>
      </c>
      <c r="D57" s="8">
        <f t="shared" si="2"/>
        <v>0.90623138329560349</v>
      </c>
      <c r="E57" s="8">
        <f t="shared" si="3"/>
        <v>9.3768616704396512E-2</v>
      </c>
    </row>
    <row r="58" spans="1:5">
      <c r="A58" s="6" t="s">
        <v>70</v>
      </c>
      <c r="B58" s="7">
        <v>53637</v>
      </c>
      <c r="C58" s="7">
        <v>58751</v>
      </c>
      <c r="D58" s="8">
        <f t="shared" si="2"/>
        <v>0.912954673111947</v>
      </c>
      <c r="E58" s="8">
        <f t="shared" si="3"/>
        <v>8.7045326888052998E-2</v>
      </c>
    </row>
    <row r="59" spans="1:5">
      <c r="A59" s="6" t="s">
        <v>71</v>
      </c>
      <c r="B59" s="7">
        <v>52163</v>
      </c>
      <c r="C59" s="7">
        <v>58751</v>
      </c>
      <c r="D59" s="8">
        <f t="shared" si="2"/>
        <v>0.88786573845551564</v>
      </c>
      <c r="E59" s="8">
        <f t="shared" si="3"/>
        <v>0.11213426154448436</v>
      </c>
    </row>
    <row r="60" spans="1:5">
      <c r="A60" s="6" t="s">
        <v>72</v>
      </c>
      <c r="B60" s="7">
        <v>47568</v>
      </c>
      <c r="C60" s="7">
        <v>58751</v>
      </c>
      <c r="D60" s="8">
        <f t="shared" si="2"/>
        <v>0.8096543037565318</v>
      </c>
      <c r="E60" s="8">
        <f t="shared" si="3"/>
        <v>0.1903456962434682</v>
      </c>
    </row>
    <row r="61" spans="1:5">
      <c r="A61" s="6" t="s">
        <v>73</v>
      </c>
      <c r="B61" s="7">
        <v>49438</v>
      </c>
      <c r="C61" s="7">
        <v>58751</v>
      </c>
      <c r="D61" s="8">
        <f t="shared" si="2"/>
        <v>0.84148354921618351</v>
      </c>
      <c r="E61" s="8">
        <f t="shared" si="3"/>
        <v>0.15851645078381649</v>
      </c>
    </row>
    <row r="62" spans="1:5">
      <c r="A62" s="6" t="s">
        <v>74</v>
      </c>
      <c r="B62" s="7">
        <v>52991</v>
      </c>
      <c r="C62" s="7">
        <v>58751</v>
      </c>
      <c r="D62" s="8">
        <f t="shared" si="2"/>
        <v>0.90195911558952191</v>
      </c>
      <c r="E62" s="8">
        <f t="shared" si="3"/>
        <v>9.8040884410478091E-2</v>
      </c>
    </row>
    <row r="63" spans="1:5">
      <c r="A63" s="6" t="s">
        <v>75</v>
      </c>
      <c r="B63" s="7">
        <v>50558</v>
      </c>
      <c r="C63" s="7">
        <v>58751</v>
      </c>
      <c r="D63" s="8">
        <f t="shared" si="2"/>
        <v>0.860547054518221</v>
      </c>
      <c r="E63" s="8">
        <f t="shared" si="3"/>
        <v>0.139452945481779</v>
      </c>
    </row>
    <row r="64" spans="1:5">
      <c r="A64" s="6" t="s">
        <v>76</v>
      </c>
      <c r="B64" s="7">
        <v>51602</v>
      </c>
      <c r="C64" s="7">
        <v>58751</v>
      </c>
      <c r="D64" s="8">
        <f t="shared" si="2"/>
        <v>0.87831696481762012</v>
      </c>
      <c r="E64" s="8">
        <f t="shared" si="3"/>
        <v>0.12168303518237988</v>
      </c>
    </row>
    <row r="65" spans="1:5">
      <c r="A65" s="6" t="s">
        <v>77</v>
      </c>
      <c r="B65" s="7">
        <v>50327</v>
      </c>
      <c r="C65" s="7">
        <v>58751</v>
      </c>
      <c r="D65" s="8">
        <f t="shared" si="2"/>
        <v>0.85661520654967571</v>
      </c>
      <c r="E65" s="8">
        <f t="shared" si="3"/>
        <v>0.14338479345032429</v>
      </c>
    </row>
    <row r="66" spans="1:5">
      <c r="A66" s="6" t="s">
        <v>78</v>
      </c>
      <c r="B66" s="7">
        <v>50018</v>
      </c>
      <c r="C66" s="7">
        <v>58751</v>
      </c>
      <c r="D66" s="8">
        <f t="shared" ref="D66:D97" si="4">B66/C66</f>
        <v>0.8513557216047386</v>
      </c>
      <c r="E66" s="8">
        <f t="shared" ref="E66:E97" si="5">1-D66</f>
        <v>0.1486442783952614</v>
      </c>
    </row>
    <row r="67" spans="1:5">
      <c r="A67" s="6" t="s">
        <v>79</v>
      </c>
      <c r="B67" s="7">
        <v>49693</v>
      </c>
      <c r="C67" s="7">
        <v>58751</v>
      </c>
      <c r="D67" s="8">
        <f t="shared" si="4"/>
        <v>0.84582390086977244</v>
      </c>
      <c r="E67" s="8">
        <f t="shared" si="5"/>
        <v>0.15417609913022756</v>
      </c>
    </row>
    <row r="68" spans="1:5">
      <c r="A68" s="6" t="s">
        <v>80</v>
      </c>
      <c r="B68" s="7">
        <v>51566</v>
      </c>
      <c r="C68" s="7">
        <v>58751</v>
      </c>
      <c r="D68" s="8">
        <f t="shared" si="4"/>
        <v>0.87770420929005466</v>
      </c>
      <c r="E68" s="8">
        <f t="shared" si="5"/>
        <v>0.12229579070994534</v>
      </c>
    </row>
    <row r="69" spans="1:5">
      <c r="A69" s="6" t="s">
        <v>81</v>
      </c>
      <c r="B69" s="7">
        <v>47383</v>
      </c>
      <c r="C69" s="7">
        <v>58751</v>
      </c>
      <c r="D69" s="8">
        <f t="shared" si="4"/>
        <v>0.80650542118432023</v>
      </c>
      <c r="E69" s="8">
        <f t="shared" si="5"/>
        <v>0.19349457881567977</v>
      </c>
    </row>
    <row r="70" spans="1:5">
      <c r="A70" s="6" t="s">
        <v>82</v>
      </c>
      <c r="B70" s="7">
        <v>46357</v>
      </c>
      <c r="C70" s="7">
        <v>58751</v>
      </c>
      <c r="D70" s="8">
        <f t="shared" si="4"/>
        <v>0.78904188864870384</v>
      </c>
      <c r="E70" s="8">
        <f t="shared" si="5"/>
        <v>0.21095811135129616</v>
      </c>
    </row>
    <row r="71" spans="1:5">
      <c r="A71" s="6" t="s">
        <v>83</v>
      </c>
      <c r="B71" s="7">
        <v>49017</v>
      </c>
      <c r="C71" s="7">
        <v>58751</v>
      </c>
      <c r="D71" s="8">
        <f t="shared" si="4"/>
        <v>0.83431771374104269</v>
      </c>
      <c r="E71" s="8">
        <f t="shared" si="5"/>
        <v>0.16568228625895731</v>
      </c>
    </row>
    <row r="72" spans="1:5">
      <c r="A72" s="6" t="s">
        <v>84</v>
      </c>
      <c r="B72" s="7">
        <v>47771</v>
      </c>
      <c r="C72" s="7">
        <v>58751</v>
      </c>
      <c r="D72" s="8">
        <f t="shared" si="4"/>
        <v>0.8131095640925261</v>
      </c>
      <c r="E72" s="8">
        <f t="shared" si="5"/>
        <v>0.1868904359074739</v>
      </c>
    </row>
    <row r="73" spans="1:5">
      <c r="A73" s="6" t="s">
        <v>85</v>
      </c>
      <c r="B73" s="7">
        <v>49465</v>
      </c>
      <c r="C73" s="7">
        <v>58751</v>
      </c>
      <c r="D73" s="8">
        <f t="shared" si="4"/>
        <v>0.84194311586185766</v>
      </c>
      <c r="E73" s="8">
        <f t="shared" si="5"/>
        <v>0.15805688413814234</v>
      </c>
    </row>
    <row r="74" spans="1:5">
      <c r="A74" s="6" t="s">
        <v>86</v>
      </c>
      <c r="B74" s="7">
        <v>50491</v>
      </c>
      <c r="C74" s="7">
        <v>58751</v>
      </c>
      <c r="D74" s="8">
        <f t="shared" si="4"/>
        <v>0.85940664839747405</v>
      </c>
      <c r="E74" s="8">
        <f t="shared" si="5"/>
        <v>0.14059335160252595</v>
      </c>
    </row>
    <row r="75" spans="1:5">
      <c r="A75" s="6" t="s">
        <v>87</v>
      </c>
      <c r="B75" s="7">
        <v>50774</v>
      </c>
      <c r="C75" s="7">
        <v>58751</v>
      </c>
      <c r="D75" s="8">
        <f t="shared" si="4"/>
        <v>0.86422358768361385</v>
      </c>
      <c r="E75" s="8">
        <f t="shared" si="5"/>
        <v>0.13577641231638615</v>
      </c>
    </row>
    <row r="76" spans="1:5">
      <c r="A76" s="6" t="s">
        <v>88</v>
      </c>
      <c r="B76" s="7">
        <v>52368</v>
      </c>
      <c r="C76" s="7">
        <v>58751</v>
      </c>
      <c r="D76" s="8">
        <f t="shared" si="4"/>
        <v>0.89135504076526362</v>
      </c>
      <c r="E76" s="8">
        <f t="shared" si="5"/>
        <v>0.10864495923473638</v>
      </c>
    </row>
    <row r="77" spans="1:5">
      <c r="A77" s="6" t="s">
        <v>89</v>
      </c>
      <c r="B77" s="7">
        <v>50920</v>
      </c>
      <c r="C77" s="7">
        <v>58751</v>
      </c>
      <c r="D77" s="8">
        <f t="shared" si="4"/>
        <v>0.86670865176762946</v>
      </c>
      <c r="E77" s="8">
        <f t="shared" si="5"/>
        <v>0.13329134823237054</v>
      </c>
    </row>
    <row r="78" spans="1:5">
      <c r="A78" s="6" t="s">
        <v>90</v>
      </c>
      <c r="B78" s="7">
        <v>42935</v>
      </c>
      <c r="C78" s="7">
        <v>58751</v>
      </c>
      <c r="D78" s="8">
        <f t="shared" si="4"/>
        <v>0.73079607155622883</v>
      </c>
      <c r="E78" s="8">
        <f t="shared" si="5"/>
        <v>0.26920392844377117</v>
      </c>
    </row>
    <row r="79" spans="1:5">
      <c r="A79" s="6" t="s">
        <v>91</v>
      </c>
      <c r="B79" s="7">
        <v>38469</v>
      </c>
      <c r="C79" s="7">
        <v>58751</v>
      </c>
      <c r="D79" s="8">
        <f t="shared" si="4"/>
        <v>0.6547803441643546</v>
      </c>
      <c r="E79" s="8">
        <f t="shared" si="5"/>
        <v>0.3452196558356454</v>
      </c>
    </row>
    <row r="80" spans="1:5">
      <c r="A80" s="6" t="s">
        <v>92</v>
      </c>
      <c r="B80" s="7">
        <v>38469</v>
      </c>
      <c r="C80" s="7">
        <v>58751</v>
      </c>
      <c r="D80" s="8">
        <f t="shared" si="4"/>
        <v>0.6547803441643546</v>
      </c>
      <c r="E80" s="8">
        <f t="shared" si="5"/>
        <v>0.3452196558356454</v>
      </c>
    </row>
    <row r="81" spans="1:5">
      <c r="A81" s="6" t="s">
        <v>93</v>
      </c>
      <c r="B81" s="7">
        <v>38469</v>
      </c>
      <c r="C81" s="7">
        <v>58751</v>
      </c>
      <c r="D81" s="8">
        <f t="shared" si="4"/>
        <v>0.6547803441643546</v>
      </c>
      <c r="E81" s="8">
        <f t="shared" si="5"/>
        <v>0.3452196558356454</v>
      </c>
    </row>
    <row r="82" spans="1:5">
      <c r="A82" s="6" t="s">
        <v>94</v>
      </c>
      <c r="B82" s="7">
        <v>38469</v>
      </c>
      <c r="C82" s="7">
        <v>58751</v>
      </c>
      <c r="D82" s="8">
        <f t="shared" si="4"/>
        <v>0.6547803441643546</v>
      </c>
      <c r="E82" s="8">
        <f t="shared" si="5"/>
        <v>0.3452196558356454</v>
      </c>
    </row>
    <row r="83" spans="1:5">
      <c r="A83" s="6" t="s">
        <v>95</v>
      </c>
      <c r="B83" s="7">
        <v>38469</v>
      </c>
      <c r="C83" s="7">
        <v>58751</v>
      </c>
      <c r="D83" s="8">
        <f t="shared" si="4"/>
        <v>0.6547803441643546</v>
      </c>
      <c r="E83" s="8">
        <f t="shared" si="5"/>
        <v>0.3452196558356454</v>
      </c>
    </row>
    <row r="84" spans="1:5">
      <c r="A84" s="6" t="s">
        <v>96</v>
      </c>
      <c r="B84" s="7">
        <v>38469</v>
      </c>
      <c r="C84" s="7">
        <v>58751</v>
      </c>
      <c r="D84" s="8">
        <f t="shared" si="4"/>
        <v>0.6547803441643546</v>
      </c>
      <c r="E84" s="8">
        <f t="shared" si="5"/>
        <v>0.3452196558356454</v>
      </c>
    </row>
    <row r="85" spans="1:5">
      <c r="A85" s="6" t="s">
        <v>97</v>
      </c>
      <c r="B85" s="7">
        <v>38469</v>
      </c>
      <c r="C85" s="7">
        <v>58751</v>
      </c>
      <c r="D85" s="8">
        <f t="shared" si="4"/>
        <v>0.6547803441643546</v>
      </c>
      <c r="E85" s="8">
        <f t="shared" si="5"/>
        <v>0.3452196558356454</v>
      </c>
    </row>
    <row r="86" spans="1:5">
      <c r="A86" s="6" t="s">
        <v>98</v>
      </c>
      <c r="B86" s="7">
        <v>38469</v>
      </c>
      <c r="C86" s="7">
        <v>58751</v>
      </c>
      <c r="D86" s="8">
        <f t="shared" si="4"/>
        <v>0.6547803441643546</v>
      </c>
      <c r="E86" s="8">
        <f t="shared" si="5"/>
        <v>0.3452196558356454</v>
      </c>
    </row>
    <row r="87" spans="1:5">
      <c r="A87" s="6" t="s">
        <v>99</v>
      </c>
      <c r="B87" s="7">
        <v>38469</v>
      </c>
      <c r="C87" s="7">
        <v>58751</v>
      </c>
      <c r="D87" s="8">
        <f t="shared" si="4"/>
        <v>0.6547803441643546</v>
      </c>
      <c r="E87" s="8">
        <f t="shared" si="5"/>
        <v>0.3452196558356454</v>
      </c>
    </row>
    <row r="88" spans="1:5">
      <c r="A88" s="6" t="s">
        <v>100</v>
      </c>
      <c r="B88" s="7">
        <v>38469</v>
      </c>
      <c r="C88" s="7">
        <v>58751</v>
      </c>
      <c r="D88" s="8">
        <f t="shared" si="4"/>
        <v>0.6547803441643546</v>
      </c>
      <c r="E88" s="8">
        <f t="shared" si="5"/>
        <v>0.3452196558356454</v>
      </c>
    </row>
    <row r="89" spans="1:5">
      <c r="A89" s="6" t="s">
        <v>101</v>
      </c>
      <c r="B89" s="7">
        <v>38469</v>
      </c>
      <c r="C89" s="7">
        <v>58751</v>
      </c>
      <c r="D89" s="8">
        <f t="shared" si="4"/>
        <v>0.6547803441643546</v>
      </c>
      <c r="E89" s="8">
        <f t="shared" si="5"/>
        <v>0.3452196558356454</v>
      </c>
    </row>
    <row r="90" spans="1:5">
      <c r="A90" s="6" t="s">
        <v>102</v>
      </c>
      <c r="B90" s="7">
        <v>38469</v>
      </c>
      <c r="C90" s="7">
        <v>58751</v>
      </c>
      <c r="D90" s="8">
        <f t="shared" si="4"/>
        <v>0.6547803441643546</v>
      </c>
      <c r="E90" s="8">
        <f t="shared" si="5"/>
        <v>0.3452196558356454</v>
      </c>
    </row>
    <row r="91" spans="1:5">
      <c r="A91" s="6" t="s">
        <v>103</v>
      </c>
      <c r="B91" s="7">
        <v>38469</v>
      </c>
      <c r="C91" s="7">
        <v>58751</v>
      </c>
      <c r="D91" s="8">
        <f t="shared" si="4"/>
        <v>0.6547803441643546</v>
      </c>
      <c r="E91" s="8">
        <f t="shared" si="5"/>
        <v>0.3452196558356454</v>
      </c>
    </row>
    <row r="92" spans="1:5">
      <c r="A92" s="6" t="s">
        <v>104</v>
      </c>
      <c r="B92" s="7">
        <v>38469</v>
      </c>
      <c r="C92" s="7">
        <v>58751</v>
      </c>
      <c r="D92" s="8">
        <f t="shared" si="4"/>
        <v>0.6547803441643546</v>
      </c>
      <c r="E92" s="8">
        <f t="shared" si="5"/>
        <v>0.3452196558356454</v>
      </c>
    </row>
    <row r="93" spans="1:5">
      <c r="A93" s="6" t="s">
        <v>105</v>
      </c>
      <c r="B93" s="7">
        <v>38469</v>
      </c>
      <c r="C93" s="7">
        <v>58751</v>
      </c>
      <c r="D93" s="8">
        <f t="shared" si="4"/>
        <v>0.6547803441643546</v>
      </c>
      <c r="E93" s="8">
        <f t="shared" si="5"/>
        <v>0.3452196558356454</v>
      </c>
    </row>
    <row r="94" spans="1:5">
      <c r="A94" s="6" t="s">
        <v>106</v>
      </c>
      <c r="B94" s="7">
        <v>38469</v>
      </c>
      <c r="C94" s="7">
        <v>58751</v>
      </c>
      <c r="D94" s="8">
        <f t="shared" si="4"/>
        <v>0.6547803441643546</v>
      </c>
      <c r="E94" s="8">
        <f t="shared" si="5"/>
        <v>0.3452196558356454</v>
      </c>
    </row>
    <row r="95" spans="1:5">
      <c r="A95" s="6" t="s">
        <v>107</v>
      </c>
      <c r="B95" s="7">
        <v>38469</v>
      </c>
      <c r="C95" s="7">
        <v>58751</v>
      </c>
      <c r="D95" s="8">
        <f t="shared" si="4"/>
        <v>0.6547803441643546</v>
      </c>
      <c r="E95" s="8">
        <f t="shared" si="5"/>
        <v>0.3452196558356454</v>
      </c>
    </row>
    <row r="96" spans="1:5">
      <c r="A96" s="6" t="s">
        <v>108</v>
      </c>
      <c r="B96" s="7">
        <v>38469</v>
      </c>
      <c r="C96" s="7">
        <v>58751</v>
      </c>
      <c r="D96" s="8">
        <f t="shared" si="4"/>
        <v>0.6547803441643546</v>
      </c>
      <c r="E96" s="8">
        <f t="shared" si="5"/>
        <v>0.3452196558356454</v>
      </c>
    </row>
    <row r="97" spans="1:5">
      <c r="A97" s="6" t="s">
        <v>109</v>
      </c>
      <c r="B97" s="7">
        <v>38469</v>
      </c>
      <c r="C97" s="7">
        <v>58751</v>
      </c>
      <c r="D97" s="8">
        <f t="shared" si="4"/>
        <v>0.6547803441643546</v>
      </c>
      <c r="E97" s="8">
        <f t="shared" si="5"/>
        <v>0.3452196558356454</v>
      </c>
    </row>
    <row r="98" spans="1:5">
      <c r="A98" s="6" t="s">
        <v>110</v>
      </c>
      <c r="B98" s="7">
        <v>38469</v>
      </c>
      <c r="C98" s="7">
        <v>58751</v>
      </c>
      <c r="D98" s="8">
        <f t="shared" ref="D98:D129" si="6">B98/C98</f>
        <v>0.6547803441643546</v>
      </c>
      <c r="E98" s="8">
        <f t="shared" ref="E98:E129" si="7">1-D98</f>
        <v>0.3452196558356454</v>
      </c>
    </row>
    <row r="99" spans="1:5">
      <c r="A99" s="6" t="s">
        <v>111</v>
      </c>
      <c r="B99" s="7">
        <v>38469</v>
      </c>
      <c r="C99" s="7">
        <v>58751</v>
      </c>
      <c r="D99" s="8">
        <f t="shared" si="6"/>
        <v>0.6547803441643546</v>
      </c>
      <c r="E99" s="8">
        <f t="shared" si="7"/>
        <v>0.3452196558356454</v>
      </c>
    </row>
    <row r="100" spans="1:5">
      <c r="A100" s="6" t="s">
        <v>112</v>
      </c>
      <c r="B100" s="7">
        <v>38469</v>
      </c>
      <c r="C100" s="7">
        <v>58751</v>
      </c>
      <c r="D100" s="8">
        <f t="shared" si="6"/>
        <v>0.6547803441643546</v>
      </c>
      <c r="E100" s="8">
        <f t="shared" si="7"/>
        <v>0.3452196558356454</v>
      </c>
    </row>
    <row r="101" spans="1:5">
      <c r="A101" s="6" t="s">
        <v>113</v>
      </c>
      <c r="B101" s="7">
        <v>38469</v>
      </c>
      <c r="C101" s="7">
        <v>58751</v>
      </c>
      <c r="D101" s="8">
        <f t="shared" si="6"/>
        <v>0.6547803441643546</v>
      </c>
      <c r="E101" s="8">
        <f t="shared" si="7"/>
        <v>0.3452196558356454</v>
      </c>
    </row>
    <row r="102" spans="1:5">
      <c r="A102" s="6" t="s">
        <v>114</v>
      </c>
      <c r="B102" s="7">
        <v>39734</v>
      </c>
      <c r="C102" s="7">
        <v>58751</v>
      </c>
      <c r="D102" s="8">
        <f t="shared" si="6"/>
        <v>0.67631189256353086</v>
      </c>
      <c r="E102" s="8">
        <f t="shared" si="7"/>
        <v>0.32368810743646914</v>
      </c>
    </row>
    <row r="103" spans="1:5">
      <c r="A103" s="6" t="s">
        <v>115</v>
      </c>
      <c r="B103" s="7">
        <v>49605</v>
      </c>
      <c r="C103" s="7">
        <v>58751</v>
      </c>
      <c r="D103" s="8">
        <f t="shared" si="6"/>
        <v>0.84432605402461236</v>
      </c>
      <c r="E103" s="8">
        <f t="shared" si="7"/>
        <v>0.15567394597538764</v>
      </c>
    </row>
    <row r="104" spans="1:5">
      <c r="A104" s="6" t="s">
        <v>116</v>
      </c>
      <c r="B104" s="7">
        <v>47009</v>
      </c>
      <c r="C104" s="7">
        <v>58751</v>
      </c>
      <c r="D104" s="8">
        <f t="shared" si="6"/>
        <v>0.80013957209238995</v>
      </c>
      <c r="E104" s="8">
        <f t="shared" si="7"/>
        <v>0.19986042790761005</v>
      </c>
    </row>
    <row r="105" spans="1:5">
      <c r="A105" s="6" t="s">
        <v>117</v>
      </c>
      <c r="B105" s="7">
        <v>47833</v>
      </c>
      <c r="C105" s="7">
        <v>58751</v>
      </c>
      <c r="D105" s="8">
        <f t="shared" si="6"/>
        <v>0.81416486527888887</v>
      </c>
      <c r="E105" s="8">
        <f t="shared" si="7"/>
        <v>0.18583513472111113</v>
      </c>
    </row>
    <row r="106" spans="1:5">
      <c r="A106" s="6" t="s">
        <v>118</v>
      </c>
      <c r="B106" s="7">
        <v>48387</v>
      </c>
      <c r="C106" s="7">
        <v>58751</v>
      </c>
      <c r="D106" s="8">
        <f t="shared" si="6"/>
        <v>0.82359449200864665</v>
      </c>
      <c r="E106" s="8">
        <f t="shared" si="7"/>
        <v>0.17640550799135335</v>
      </c>
    </row>
    <row r="107" spans="1:5">
      <c r="A107" s="6" t="s">
        <v>119</v>
      </c>
      <c r="B107" s="7">
        <v>48387</v>
      </c>
      <c r="C107" s="7">
        <v>58751</v>
      </c>
      <c r="D107" s="8">
        <f t="shared" si="6"/>
        <v>0.82359449200864665</v>
      </c>
      <c r="E107" s="8">
        <f t="shared" si="7"/>
        <v>0.17640550799135335</v>
      </c>
    </row>
    <row r="108" spans="1:5">
      <c r="A108" s="6" t="s">
        <v>120</v>
      </c>
      <c r="B108" s="7">
        <v>47116</v>
      </c>
      <c r="C108" s="7">
        <v>58751</v>
      </c>
      <c r="D108" s="8">
        <f t="shared" si="6"/>
        <v>0.80196081768820959</v>
      </c>
      <c r="E108" s="8">
        <f t="shared" si="7"/>
        <v>0.19803918231179041</v>
      </c>
    </row>
    <row r="109" spans="1:5">
      <c r="A109" s="6" t="s">
        <v>121</v>
      </c>
      <c r="B109" s="7">
        <v>46962</v>
      </c>
      <c r="C109" s="7">
        <v>58751</v>
      </c>
      <c r="D109" s="8">
        <f t="shared" si="6"/>
        <v>0.7993395857091794</v>
      </c>
      <c r="E109" s="8">
        <f t="shared" si="7"/>
        <v>0.2006604142908206</v>
      </c>
    </row>
    <row r="110" spans="1:5">
      <c r="A110" s="6" t="s">
        <v>122</v>
      </c>
      <c r="B110" s="7">
        <v>46600</v>
      </c>
      <c r="C110" s="7">
        <v>58751</v>
      </c>
      <c r="D110" s="8">
        <f t="shared" si="6"/>
        <v>0.79317798845977094</v>
      </c>
      <c r="E110" s="8">
        <f t="shared" si="7"/>
        <v>0.20682201154022906</v>
      </c>
    </row>
    <row r="111" spans="1:5">
      <c r="A111" s="6" t="s">
        <v>123</v>
      </c>
      <c r="B111" s="7">
        <v>46600</v>
      </c>
      <c r="C111" s="7">
        <v>58751</v>
      </c>
      <c r="D111" s="8">
        <f t="shared" si="6"/>
        <v>0.79317798845977094</v>
      </c>
      <c r="E111" s="8">
        <f t="shared" si="7"/>
        <v>0.20682201154022906</v>
      </c>
    </row>
    <row r="112" spans="1:5">
      <c r="A112" s="6" t="s">
        <v>124</v>
      </c>
      <c r="B112" s="7">
        <v>46600</v>
      </c>
      <c r="C112" s="7">
        <v>58751</v>
      </c>
      <c r="D112" s="8">
        <f t="shared" si="6"/>
        <v>0.79317798845977094</v>
      </c>
      <c r="E112" s="8">
        <f t="shared" si="7"/>
        <v>0.20682201154022906</v>
      </c>
    </row>
    <row r="113" spans="1:5">
      <c r="A113" s="6" t="s">
        <v>125</v>
      </c>
      <c r="B113" s="7">
        <v>46600</v>
      </c>
      <c r="C113" s="7">
        <v>58751</v>
      </c>
      <c r="D113" s="8">
        <f t="shared" si="6"/>
        <v>0.79317798845977094</v>
      </c>
      <c r="E113" s="8">
        <f t="shared" si="7"/>
        <v>0.20682201154022906</v>
      </c>
    </row>
    <row r="114" spans="1:5">
      <c r="A114" s="6" t="s">
        <v>126</v>
      </c>
      <c r="B114" s="7">
        <v>46600</v>
      </c>
      <c r="C114" s="7">
        <v>58751</v>
      </c>
      <c r="D114" s="8">
        <f t="shared" si="6"/>
        <v>0.79317798845977094</v>
      </c>
      <c r="E114" s="8">
        <f t="shared" si="7"/>
        <v>0.20682201154022906</v>
      </c>
    </row>
    <row r="115" spans="1:5">
      <c r="A115" s="9" t="s">
        <v>127</v>
      </c>
      <c r="B115" s="10">
        <v>46600</v>
      </c>
      <c r="C115" s="10">
        <v>58751</v>
      </c>
      <c r="D115" s="11">
        <f t="shared" si="6"/>
        <v>0.79317798845977094</v>
      </c>
      <c r="E115" s="11">
        <f t="shared" si="7"/>
        <v>0.20682201154022906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100-000001000000}">
            <xm:f>'Source &amp; Notes'!$B$21</xm:f>
            <x14:dxf>
              <font>
                <b/>
                <color rgb="FF9C0006"/>
              </font>
              <fill>
                <patternFill patternType="solid">
                  <bgColor rgb="FFFCE4D6"/>
                </patternFill>
              </fill>
            </x14:dxf>
          </x14:cfRule>
          <xm:sqref>D2:D115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workbookViewId="0"/>
  </sheetViews>
  <sheetFormatPr defaultRowHeight="14.25"/>
  <cols>
    <col min="1" max="1" width="30" customWidth="1"/>
    <col min="2" max="2" width="48" customWidth="1"/>
    <col min="3" max="4" width="14" customWidth="1"/>
  </cols>
  <sheetData>
    <row r="1" spans="1:4" ht="32.1" customHeight="1">
      <c r="A1" s="23" t="s">
        <v>128</v>
      </c>
      <c r="B1" s="23" t="s">
        <v>128</v>
      </c>
      <c r="C1" s="23" t="s">
        <v>128</v>
      </c>
      <c r="D1" s="23" t="s">
        <v>128</v>
      </c>
    </row>
    <row r="2" spans="1:4" ht="32.1" customHeight="1">
      <c r="A2" s="23" t="s">
        <v>128</v>
      </c>
      <c r="B2" s="23" t="s">
        <v>128</v>
      </c>
      <c r="C2" s="23" t="s">
        <v>128</v>
      </c>
      <c r="D2" s="23" t="s">
        <v>128</v>
      </c>
    </row>
    <row r="4" spans="1:4" ht="15">
      <c r="A4" s="12" t="s">
        <v>129</v>
      </c>
      <c r="B4" s="12"/>
      <c r="C4" s="12"/>
      <c r="D4" s="12"/>
    </row>
    <row r="5" spans="1:4" ht="15">
      <c r="A5" s="16" t="s">
        <v>130</v>
      </c>
      <c r="B5" s="13" t="s">
        <v>131</v>
      </c>
      <c r="C5" s="13"/>
      <c r="D5" s="13"/>
    </row>
    <row r="6" spans="1:4" ht="15">
      <c r="A6" s="16" t="s">
        <v>132</v>
      </c>
      <c r="B6" s="13" t="s">
        <v>133</v>
      </c>
      <c r="C6" s="13"/>
      <c r="D6" s="13"/>
    </row>
    <row r="7" spans="1:4" ht="15">
      <c r="A7" s="16" t="s">
        <v>134</v>
      </c>
      <c r="B7" s="13" t="s">
        <v>135</v>
      </c>
      <c r="C7" s="13"/>
      <c r="D7" s="13"/>
    </row>
    <row r="8" spans="1:4" ht="15">
      <c r="A8" s="16" t="s">
        <v>136</v>
      </c>
      <c r="B8" s="13" t="s">
        <v>137</v>
      </c>
      <c r="C8" s="13"/>
      <c r="D8" s="13"/>
    </row>
    <row r="9" spans="1:4" ht="15">
      <c r="A9" s="16" t="s">
        <v>138</v>
      </c>
      <c r="B9" s="13" t="s">
        <v>139</v>
      </c>
      <c r="C9" s="13"/>
      <c r="D9" s="13"/>
    </row>
    <row r="10" spans="1:4" ht="15">
      <c r="A10" s="16"/>
      <c r="B10" s="13"/>
      <c r="C10" s="13"/>
      <c r="D10" s="13"/>
    </row>
    <row r="11" spans="1:4" ht="15">
      <c r="A11" s="14" t="s">
        <v>140</v>
      </c>
      <c r="B11" s="14"/>
      <c r="C11" s="14"/>
      <c r="D11" s="14"/>
    </row>
    <row r="12" spans="1:4" ht="15">
      <c r="A12" s="16" t="s">
        <v>141</v>
      </c>
      <c r="B12" s="13" t="s">
        <v>142</v>
      </c>
      <c r="C12" s="13"/>
      <c r="D12" s="13"/>
    </row>
    <row r="13" spans="1:4" ht="15">
      <c r="A13" s="16" t="s">
        <v>143</v>
      </c>
      <c r="B13" s="13" t="s">
        <v>144</v>
      </c>
      <c r="C13" s="13"/>
      <c r="D13" s="13"/>
    </row>
    <row r="14" spans="1:4" ht="15">
      <c r="A14" s="16" t="s">
        <v>145</v>
      </c>
      <c r="B14" s="13" t="s">
        <v>146</v>
      </c>
      <c r="C14" s="13"/>
      <c r="D14" s="13"/>
    </row>
    <row r="15" spans="1:4" ht="15">
      <c r="A15" s="16" t="s">
        <v>147</v>
      </c>
      <c r="B15" s="13" t="s">
        <v>148</v>
      </c>
      <c r="C15" s="13"/>
      <c r="D15" s="13"/>
    </row>
    <row r="16" spans="1:4" ht="15">
      <c r="A16" s="16" t="s">
        <v>149</v>
      </c>
      <c r="B16" s="18">
        <v>58751</v>
      </c>
      <c r="C16" s="13"/>
      <c r="D16" s="13"/>
    </row>
    <row r="17" spans="1:4" ht="15">
      <c r="A17" s="16" t="s">
        <v>150</v>
      </c>
      <c r="B17" s="18">
        <v>48464</v>
      </c>
      <c r="C17" s="13"/>
      <c r="D17" s="13"/>
    </row>
    <row r="18" spans="1:4" ht="15">
      <c r="A18" s="16" t="s">
        <v>151</v>
      </c>
      <c r="B18" s="13" t="s">
        <v>152</v>
      </c>
      <c r="C18" s="13"/>
      <c r="D18" s="13"/>
    </row>
    <row r="19" spans="1:4" ht="15">
      <c r="A19" s="16"/>
      <c r="B19" s="13"/>
      <c r="C19" s="13"/>
      <c r="D19" s="13"/>
    </row>
    <row r="20" spans="1:4" ht="15">
      <c r="A20" s="14" t="s">
        <v>153</v>
      </c>
      <c r="B20" s="14"/>
      <c r="C20" s="14"/>
      <c r="D20" s="14"/>
    </row>
    <row r="21" spans="1:4" ht="15">
      <c r="A21" s="16" t="s">
        <v>5</v>
      </c>
      <c r="B21" s="19">
        <v>0.8</v>
      </c>
      <c r="C21" s="13"/>
      <c r="D21" s="13"/>
    </row>
    <row r="22" spans="1:4" ht="15">
      <c r="A22" s="16" t="s">
        <v>154</v>
      </c>
      <c r="B22" s="20" t="s">
        <v>155</v>
      </c>
      <c r="C22" s="13"/>
      <c r="D22" s="13"/>
    </row>
    <row r="23" spans="1:4" ht="15">
      <c r="A23" s="16" t="s">
        <v>156</v>
      </c>
      <c r="B23" s="21">
        <v>59321</v>
      </c>
      <c r="C23" s="13"/>
      <c r="D23" s="13"/>
    </row>
    <row r="24" spans="1:4" ht="15">
      <c r="A24" s="16" t="s">
        <v>157</v>
      </c>
      <c r="B24" s="21">
        <v>46600</v>
      </c>
      <c r="C24" s="13"/>
      <c r="D24" s="13"/>
    </row>
    <row r="25" spans="1:4" ht="15">
      <c r="A25" s="16" t="s">
        <v>158</v>
      </c>
      <c r="B25" s="20" t="s">
        <v>159</v>
      </c>
      <c r="C25" s="13"/>
      <c r="D25" s="13"/>
    </row>
    <row r="26" spans="1:4" ht="15">
      <c r="A26" s="17" t="s">
        <v>160</v>
      </c>
      <c r="B26" s="22" t="s">
        <v>161</v>
      </c>
      <c r="C26" s="15"/>
      <c r="D26" s="15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Capacity History</vt:lpstr>
      <vt:lpstr>Source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Phakorn Buranasen</cp:lastModifiedBy>
  <dcterms:modified xsi:type="dcterms:W3CDTF">2026-08-06T10:04:35Z</dcterms:modified>
</cp:coreProperties>
</file>