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b5bc9394a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ผู้ขอ" sheetId="1" r:id="R26adf5b030ce4d53"/>
    <x:sheet xmlns:r="http://schemas.openxmlformats.org/officeDocument/2006/relationships" name="รายละเอียดคำขอ" sheetId="2" r:id="R6fa6123e1fd5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@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1"/>
      <x:color rgb="FF355064"/>
      <x:name val="Carlito"/>
    </x:font>
    <x:font>
      <x:b/>
      <x:sz val="11"/>
      <x:color rgb="FFFFFFFF"/>
      <x:name val="Carlito"/>
    </x:font>
    <x:font>
      <x:b/>
      <x:sz val="16"/>
      <x:color rgb="FF16324F"/>
      <x:name val="Carlito"/>
    </x:font>
    <x:font>
      <x:i/>
      <x:sz val="11"/>
      <x:color rgb="FF526777"/>
      <x:name val="Carlito"/>
    </x:font>
    <x:font>
      <x:b/>
      <x:sz val="18"/>
      <x:color rgb="FFFFFFFF"/>
      <x:name val="Carlito"/>
    </x:font>
    <x:font>
      <x:b/>
      <x:sz val="20"/>
      <x:color rgb="FFFFFFFF"/>
      <x:name val="Aptos"/>
    </x:font>
    <x:font>
      <x:i/>
      <x:sz val="11"/>
      <x:color rgb="FF355064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6"/>
      <x:color rgb="FF16324F"/>
      <x:name val="Aptos"/>
    </x:font>
    <x:font>
      <x:i/>
      <x:sz val="11"/>
      <x:color rgb="FF526777"/>
      <x:name val="Aptos"/>
    </x:font>
    <x:font>
      <x:b/>
      <x:sz val="18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3"/>
      </x:patternFill>
    </x:fill>
    <x:fill>
      <x:patternFill patternType="solid">
        <x:fgColor rgb="FF1F7A8C"/>
      </x:patternFill>
    </x:fill>
    <x:fill>
      <x:patternFill patternType="solid">
        <x:fgColor rgb="FFDFF3F5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</x:fills>
  <x:borders count="10">
    <x:border/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bottom style="thin">
        <x:color rgb="FFD5DEE5"/>
      </x:bottom>
    </x:border>
    <x:border>
      <x:left style="thin">
        <x:color rgb="FFD5DEE5"/>
      </x:left>
      <x:top style="thin">
        <x:color rgb="FFD5DEE5"/>
      </x:top>
    </x:border>
    <x:border>
      <x:top style="thin">
        <x:color rgb="FFD5DEE5"/>
      </x:top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bottom style="thin">
        <x:color rgb="FFD5DEE5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2" xfId="0" applyNumberFormat="1" applyFont="1" applyFill="1" applyBorder="1"/>
    <x:xf numFmtId="200" fontId="0" fillId="6" borderId="4" xfId="0" applyNumberFormat="1" applyFont="1" applyFill="1" applyBorder="1"/>
    <x:xf numFmtId="200" fontId="0" fillId="6" borderId="2" xfId="0" applyNumberFormat="1" applyFont="1" applyFill="1" applyBorder="1"/>
    <x:xf numFmtId="200" fontId="0" fillId="6" borderId="4" xfId="0" applyNumberFormat="1" applyFont="1" applyFill="1" applyBorder="1" applyAlignment="1">
      <x:alignment horizontal="right"/>
    </x:xf>
    <x:xf numFmtId="200" fontId="0" fillId="6" borderId="2" xfId="0" applyNumberFormat="1" applyFont="1" applyFill="1" applyBorder="1" applyAlignment="1">
      <x:alignment horizontal="right"/>
    </x:xf>
    <x:xf numFmtId="201" fontId="0" fillId="6" borderId="4" xfId="0" applyNumberFormat="1" applyFont="1" applyFill="1" applyBorder="1"/>
    <x:xf numFmtId="201" fontId="0" fillId="6" borderId="2" xfId="0" applyNumberFormat="1" applyFont="1" applyFill="1" applyBorder="1"/>
    <x:xf numFmtId="201" fontId="0" fillId="6" borderId="4" xfId="0" applyNumberFormat="1" applyFont="1" applyFill="1" applyBorder="1" applyAlignment="1">
      <x:alignment horizontal="center"/>
    </x:xf>
    <x:xf numFmtId="201" fontId="0" fillId="6" borderId="2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4" xfId="0" applyNumberFormat="1" applyFont="1" applyFill="1" applyBorder="1"/>
    <x:xf numFmtId="0" fontId="5" fillId="7" borderId="9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2" xfId="0" applyNumberFormat="1" applyFont="1" applyFill="1" applyBorder="1"/>
    <x:xf numFmtId="202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201" fontId="0" fillId="0" borderId="2" xfId="0" applyNumberFormat="1" applyFont="1" applyFill="1" applyBorder="1"/>
    <x:xf numFmtId="201" fontId="0" fillId="0" borderId="6" xfId="0" applyNumberFormat="1" applyFont="1" applyFill="1" applyBorder="1"/>
    <x:xf numFmtId="201" fontId="0" fillId="0" borderId="4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200" fontId="11" fillId="5" borderId="1" xfId="0" applyNumberFormat="1" applyFont="1" applyFill="1" applyBorder="1" applyAlignment="1">
      <x:alignment horizontal="center"/>
    </x:xf>
    <x:xf numFmtId="200" fontId="11" fillId="5" borderId="2" xfId="0" applyNumberFormat="1" applyFont="1" applyFill="1" applyBorder="1" applyAlignment="1">
      <x:alignment horizontal="center"/>
    </x:xf>
    <x:xf numFmtId="200" fontId="11" fillId="5" borderId="3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/>
    <x:xf numFmtId="200" fontId="9" fillId="6" borderId="4" xfId="0" applyNumberFormat="1" applyFont="1" applyFill="1" applyBorder="1" applyAlignment="1">
      <x:alignment horizontal="right"/>
    </x:xf>
    <x:xf numFmtId="201" fontId="9" fillId="6" borderId="4" xfId="0" applyNumberFormat="1" applyFont="1" applyFill="1" applyBorder="1" applyAlignment="1">
      <x:alignment horizontal="center"/>
    </x:xf>
    <x:xf numFmtId="0" fontId="9" fillId="6" borderId="2" xfId="0" applyNumberFormat="1" applyFont="1" applyFill="1" applyBorder="1"/>
    <x:xf numFmtId="200" fontId="9" fillId="6" borderId="2" xfId="0" applyNumberFormat="1" applyFont="1" applyFill="1" applyBorder="1" applyAlignment="1">
      <x:alignment horizontal="right"/>
    </x:xf>
    <x:xf numFmtId="201" fontId="9" fillId="6" borderId="2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vertical="center" wrapText="1"/>
    </x:xf>
    <x:xf numFmtId="0" fontId="12" fillId="7" borderId="6" xfId="0" applyNumberFormat="1" applyFont="1" applyFill="1" applyBorder="1" applyAlignment="1">
      <x:alignment vertical="center" wrapText="1"/>
    </x:xf>
    <x:xf numFmtId="0" fontId="12" fillId="7" borderId="7" xfId="0" applyNumberFormat="1" applyFont="1" applyFill="1" applyBorder="1" applyAlignment="1">
      <x:alignment vertical="center" wrapText="1"/>
    </x:xf>
    <x:xf numFmtId="0" fontId="12" fillId="7" borderId="8" xfId="0" applyNumberFormat="1" applyFont="1" applyFill="1" applyBorder="1" applyAlignment="1">
      <x:alignment vertical="center" wrapText="1"/>
    </x:xf>
    <x:xf numFmtId="0" fontId="12" fillId="7" borderId="4" xfId="0" applyNumberFormat="1" applyFont="1" applyFill="1" applyBorder="1" applyAlignment="1">
      <x:alignment vertical="center" wrapText="1"/>
    </x:xf>
    <x:xf numFmtId="0" fontId="12" fillId="7" borderId="9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202" fontId="9" fillId="0" borderId="4" xfId="0" applyNumberFormat="1" applyFont="1" applyFill="1" applyBorder="1"/>
    <x:xf numFmtId="0" fontId="9" fillId="0" borderId="4" xfId="0" applyNumberFormat="1" applyFont="1" applyFill="1" applyBorder="1"/>
    <x:xf numFmtId="200" fontId="9" fillId="0" borderId="4" xfId="0" applyNumberFormat="1" applyFont="1" applyFill="1" applyBorder="1" applyAlignment="1">
      <x:alignment horizontal="right"/>
    </x:xf>
    <x:xf numFmtId="0" fontId="9" fillId="0" borderId="4" xfId="0" applyNumberFormat="1" applyFont="1" applyFill="1" applyBorder="1" applyAlignment="1">
      <x:alignment horizontal="center"/>
    </x:xf>
    <x:xf numFmtId="201" fontId="9" fillId="0" borderId="4" xfId="0" applyNumberFormat="1" applyFont="1" applyFill="1" applyBorder="1" applyAlignment="1">
      <x:alignment horizontal="center"/>
    </x:xf>
    <x:xf numFmtId="202" fontId="9" fillId="0" borderId="2" xfId="0" applyNumberFormat="1" applyFont="1" applyFill="1" applyBorder="1"/>
    <x:xf numFmtId="0" fontId="9" fillId="0" borderId="2" xfId="0" applyNumberFormat="1" applyFont="1" applyFill="1" applyBorder="1"/>
    <x:xf numFmtId="200" fontId="9" fillId="0" borderId="2" xfId="0" applyNumberFormat="1" applyFont="1" applyFill="1" applyBorder="1" applyAlignment="1">
      <x:alignment horizontal="right"/>
    </x:xf>
    <x:xf numFmtId="0" fontId="9" fillId="0" borderId="2" xfId="0" applyNumberFormat="1" applyFont="1" applyFill="1" applyBorder="1" applyAlignment="1">
      <x:alignment horizontal="center"/>
    </x:xf>
    <x:xf numFmtId="201" fontId="9" fillId="0" borderId="2" xfId="0" applyNumberFormat="1" applyFont="1" applyFill="1" applyBorder="1" applyAlignment="1">
      <x:alignment horizontal="center"/>
    </x:xf>
    <x:xf numFmtId="202" fontId="9" fillId="0" borderId="6" xfId="0" applyNumberFormat="1" applyFont="1" applyFill="1" applyBorder="1"/>
    <x:xf numFmtId="0" fontId="9" fillId="0" borderId="6" xfId="0" applyNumberFormat="1" applyFont="1" applyFill="1" applyBorder="1"/>
    <x:xf numFmtId="200" fontId="9" fillId="0" borderId="6" xfId="0" applyNumberFormat="1" applyFont="1" applyFill="1" applyBorder="1" applyAlignment="1">
      <x:alignment horizontal="right"/>
    </x:xf>
    <x:xf numFmtId="0" fontId="9" fillId="0" borderId="6" xfId="0" applyNumberFormat="1" applyFont="1" applyFill="1" applyBorder="1" applyAlignment="1">
      <x:alignment horizontal="center"/>
    </x:xf>
    <x:xf numFmtId="201" fontId="9" fillId="0" borderId="6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54708"/>
      </x:font>
      <x:fill>
        <x:patternFill patternType="solid">
          <x:bgColor rgb="FFFE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f12b142164902" /><Relationship Type="http://schemas.openxmlformats.org/officeDocument/2006/relationships/theme" Target="/xl/theme/theme1.xml" Id="R6bc4fa64534146d5" /><Relationship Type="http://schemas.openxmlformats.org/officeDocument/2006/relationships/sharedStrings" Target="/xl/sharedStrings.xml" Id="R6a23ace5f59e4c57" /><Relationship Type="http://schemas.openxmlformats.org/officeDocument/2006/relationships/worksheet" Target="/xl/worksheets/sheet1.xml" Id="R26adf5b030ce4d53" /><Relationship Type="http://schemas.openxmlformats.org/officeDocument/2006/relationships/worksheet" Target="/xl/worksheets/sheet2.xml" Id="R6fa6123e1fd5476f" /></Relationships>
</file>

<file path=xl/tables/table1.xml><?xml version="1.0" encoding="utf-8"?>
<x:table xmlns:x="http://schemas.openxmlformats.org/spreadsheetml/2006/main" id="1" name="RequesterSummaryTable" displayName="RequesterSummaryTable" ref="A8:H11" headerRowCount="1" totalsRowCount="0" totalsRowShown="0">
  <x:tableColumns count="8">
    <x:tableColumn id="1" name="อีเมลผู้ขอ"/>
    <x:tableColumn id="2" name="จำนวนครั้งที่ขอ"/>
    <x:tableColumn id="3" name="จำนวนบัญชีที่ขอ"/>
    <x:tableColumn id="4" name="บัญชีที่สร้างสำเร็จ"/>
    <x:tableColumn id="5" name="คำขอไม่สำเร็จ"/>
    <x:tableColumn id="6" name="ส่งอีเมลสำเร็จ"/>
    <x:tableColumn id="7" name="ขอครั้งแรก"/>
    <x:tableColumn id="8" name="ขอล่าสุ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estWifiRequestsTable" displayName="GuestWifiRequestsTable" ref="A5:F40" headerRowCount="1" totalsRowCount="0" totalsRowShown="0">
  <x:tableColumns count="6">
    <x:tableColumn id="1" name="Job ID"/>
    <x:tableColumn id="2" name="อีเมลผู้ขอ"/>
    <x:tableColumn id="3" name="จำนวนบัญชี"/>
    <x:tableColumn id="4" name="สถานะการสร้าง"/>
    <x:tableColumn id="5" name="สถานะส่งอีเมล"/>
    <x:tableColumn id="6" name="วันที่สร้า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260d3dbcd4e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c067232f6f4b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</x:cols>
  <x:sheetData>
    <x:row r="1" ht="30" customHeight="1">
      <x:c r="A1" s="83" t="str">
        <x:v>รายงานผู้ขอใช้งาน Guest Wi‑Fi</x:v>
      </x:c>
      <x:c r="B1" s="83"/>
      <x:c r="C1" s="83"/>
      <x:c r="D1" s="83"/>
      <x:c r="E1" s="83"/>
      <x:c r="F1" s="83"/>
      <x:c r="G1" s="83"/>
      <x:c r="H1" s="83"/>
    </x:row>
    <x:row r="2" ht="30" customHeight="1">
      <x:c r="A2" s="83"/>
      <x:c r="B2" s="83"/>
      <x:c r="C2" s="83"/>
      <x:c r="D2" s="83"/>
      <x:c r="E2" s="83"/>
      <x:c r="F2" s="83"/>
      <x:c r="G2" s="83"/>
      <x:c r="H2" s="83"/>
    </x:row>
    <x:row r="3" ht="22" customHeight="1">
      <x:c r="A3" s="84" t="str">
        <x:v>ข้อมูลคำขอทั้งหมดจากฐานข้อมูล ณ 6 สิงหาคม 2026 | ไม่รวม username และ password</x:v>
      </x:c>
      <x:c r="B3" s="84"/>
      <x:c r="C3" s="84"/>
      <x:c r="D3" s="84"/>
      <x:c r="E3" s="84"/>
      <x:c r="F3" s="84"/>
      <x:c r="G3" s="84"/>
      <x:c r="H3" s="84"/>
    </x:row>
    <x:row r="4" ht="22" customHeight="1">
      <x:c r="A4" s="85"/>
      <x:c r="B4" s="85"/>
      <x:c r="C4" s="85"/>
      <x:c r="D4" s="85"/>
      <x:c r="E4" s="85"/>
      <x:c r="F4" s="85"/>
      <x:c r="G4" s="85"/>
      <x:c r="H4" s="85"/>
    </x:row>
    <x:row r="5" ht="22" customHeight="1">
      <x:c r="A5" s="86" t="str">
        <x:v>ผู้ขอทั้งหมด</x:v>
      </x:c>
      <x:c r="B5" s="86"/>
      <x:c r="C5" s="86" t="str">
        <x:v>จำนวนคำขอ</x:v>
      </x:c>
      <x:c r="D5" s="86"/>
      <x:c r="E5" s="86" t="str">
        <x:v>บัญชีที่ขอทั้งหมด</x:v>
      </x:c>
      <x:c r="F5" s="86"/>
      <x:c r="G5" s="86" t="str">
        <x:v>ส่งอีเมลสำเร็จ</x:v>
      </x:c>
      <x:c r="H5" s="86"/>
    </x:row>
    <x:row r="6" ht="22" customHeight="1">
      <x:c r="A6" s="87" t="n">
        <x:f>COUNTA(A9:A11)</x:f>
        <x:v>3</x:v>
      </x:c>
      <x:c r="B6" s="88"/>
      <x:c r="C6" s="88" t="n">
        <x:f>COUNTA('รายละเอียดคำขอ'!$A$6:$A$40)</x:f>
        <x:v>35</x:v>
      </x:c>
      <x:c r="D6" s="88"/>
      <x:c r="E6" s="88" t="n">
        <x:f>SUM('รายละเอียดคำขอ'!$C$6:$C$40)</x:f>
        <x:v>127</x:v>
      </x:c>
      <x:c r="F6" s="88"/>
      <x:c r="G6" s="88" t="n">
        <x:f>COUNTIF('รายละเอียดคำขอ'!$E$6:$E$40,"สำเร็จ")</x:f>
        <x:v>31</x:v>
      </x:c>
      <x:c r="H6" s="89"/>
    </x:row>
    <x:row r="7" ht="22" customHeight="1">
      <x:c r="A7" s="85"/>
      <x:c r="B7" s="85"/>
      <x:c r="C7" s="85"/>
      <x:c r="D7" s="85"/>
      <x:c r="E7" s="85"/>
      <x:c r="F7" s="85"/>
      <x:c r="G7" s="85"/>
      <x:c r="H7" s="85"/>
    </x:row>
    <x:row r="8" ht="34" customHeight="1">
      <x:c r="A8" s="90" t="str">
        <x:v>อีเมลผู้ขอ</x:v>
      </x:c>
      <x:c r="B8" s="90" t="str">
        <x:v>จำนวนครั้งที่ขอ</x:v>
      </x:c>
      <x:c r="C8" s="90" t="str">
        <x:v>จำนวนบัญชีที่ขอ</x:v>
      </x:c>
      <x:c r="D8" s="90" t="str">
        <x:v>บัญชีที่สร้างสำเร็จ</x:v>
      </x:c>
      <x:c r="E8" s="90" t="str">
        <x:v>คำขอไม่สำเร็จ</x:v>
      </x:c>
      <x:c r="F8" s="90" t="str">
        <x:v>ส่งอีเมลสำเร็จ</x:v>
      </x:c>
      <x:c r="G8" s="90" t="str">
        <x:v>ขอครั้งแรก</x:v>
      </x:c>
      <x:c r="H8" s="90" t="str">
        <x:v>ขอล่าสุด</x:v>
      </x:c>
    </x:row>
    <x:row r="9" ht="22" customHeight="1">
      <x:c r="A9" s="91" t="str">
        <x:v>phakorn_bu@thanulux.com</x:v>
      </x:c>
      <x:c r="B9" s="92" t="n">
        <x:f>COUNTIF('รายละเอียดคำขอ'!$B$6:$B$40,A9)</x:f>
        <x:v>31</x:v>
      </x:c>
      <x:c r="C9" s="92" t="n">
        <x:f>SUMIF('รายละเอียดคำขอ'!$B$6:$B$40,A9,'รายละเอียดคำขอ'!$C$6:$C$40)</x:f>
        <x:v>114</x:v>
      </x:c>
      <x:c r="D9" s="92" t="n">
        <x:f>SUMIFS('รายละเอียดคำขอ'!$C$6:$C$40,'รายละเอียดคำขอ'!$B$6:$B$40,A9,'รายละเอียดคำขอ'!$D$6:$D$40,"สำเร็จ")</x:f>
        <x:v>110</x:v>
      </x:c>
      <x:c r="E9" s="92" t="n">
        <x:f>COUNTIFS('รายละเอียดคำขอ'!$B$6:$B$40,A9,'รายละเอียดคำขอ'!$D$6:$D$40,"ไม่สำเร็จ")</x:f>
        <x:v>1</x:v>
      </x:c>
      <x:c r="F9" s="92" t="n">
        <x:f>COUNTIFS('รายละเอียดคำขอ'!$B$6:$B$40,A9,'รายละเอียดคำขอ'!$E$6:$E$40,"สำเร็จ")</x:f>
        <x:v>30</x:v>
      </x:c>
      <x:c r="G9" s="93" t="n">
        <x:f>MINIFS('รายละเอียดคำขอ'!$F$6:$F$40,'รายละเอียดคำขอ'!$B$6:$B$40,A9)</x:f>
        <x:v>46234.40756944445</x:v>
      </x:c>
      <x:c r="H9" s="93" t="n">
        <x:f>MAXIFS('รายละเอียดคำขอ'!$F$6:$F$40,'รายละเอียดคำขอ'!$B$6:$B$40,A9)</x:f>
        <x:v>46240.47519675926</x:v>
      </x:c>
    </x:row>
    <x:row r="10" ht="22" customHeight="1">
      <x:c r="A10" s="94" t="str">
        <x:v>receiver@example.com</x:v>
      </x:c>
      <x:c r="B10" s="95" t="n">
        <x:f>COUNTIF('รายละเอียดคำขอ'!$B$6:$B$40,A10)</x:f>
        <x:v>3</x:v>
      </x:c>
      <x:c r="C10" s="95" t="n">
        <x:f>SUMIF('รายละเอียดคำขอ'!$B$6:$B$40,A10,'รายละเอียดคำขอ'!$C$6:$C$40)</x:f>
        <x:v>9</x:v>
      </x:c>
      <x:c r="D10" s="95" t="n">
        <x:f>SUMIFS('รายละเอียดคำขอ'!$C$6:$C$40,'รายละเอียดคำขอ'!$B$6:$B$40,A10,'รายละเอียดคำขอ'!$D$6:$D$40,"สำเร็จ")</x:f>
        <x:v>9</x:v>
      </x:c>
      <x:c r="E10" s="95" t="n">
        <x:f>COUNTIFS('รายละเอียดคำขอ'!$B$6:$B$40,A10,'รายละเอียดคำขอ'!$D$6:$D$40,"ไม่สำเร็จ")</x:f>
        <x:v>0</x:v>
      </x:c>
      <x:c r="F10" s="95" t="n">
        <x:f>COUNTIFS('รายละเอียดคำขอ'!$B$6:$B$40,A10,'รายละเอียดคำขอ'!$E$6:$E$40,"สำเร็จ")</x:f>
        <x:v>0</x:v>
      </x:c>
      <x:c r="G10" s="96" t="n">
        <x:f>MINIFS('รายละเอียดคำขอ'!$F$6:$F$40,'รายละเอียดคำขอ'!$B$6:$B$40,A10)</x:f>
        <x:v>46233.692453703705</x:v>
      </x:c>
      <x:c r="H10" s="96" t="n">
        <x:f>MAXIFS('รายละเอียดคำขอ'!$F$6:$F$40,'รายละเอียดคำขอ'!$B$6:$B$40,A10)</x:f>
        <x:v>46233.71890046296</x:v>
      </x:c>
    </x:row>
    <x:row r="11" ht="22" customHeight="1">
      <x:c r="A11" s="94" t="str">
        <x:v>phakorn.7235@gmail.com</x:v>
      </x:c>
      <x:c r="B11" s="95" t="n">
        <x:f>COUNTIF('รายละเอียดคำขอ'!$B$6:$B$40,A11)</x:f>
        <x:v>1</x:v>
      </x:c>
      <x:c r="C11" s="95" t="n">
        <x:f>SUMIF('รายละเอียดคำขอ'!$B$6:$B$40,A11,'รายละเอียดคำขอ'!$C$6:$C$40)</x:f>
        <x:v>4</x:v>
      </x:c>
      <x:c r="D11" s="95" t="n">
        <x:f>SUMIFS('รายละเอียดคำขอ'!$C$6:$C$40,'รายละเอียดคำขอ'!$B$6:$B$40,A11,'รายละเอียดคำขอ'!$D$6:$D$40,"สำเร็จ")</x:f>
        <x:v>4</x:v>
      </x:c>
      <x:c r="E11" s="95" t="n">
        <x:f>COUNTIFS('รายละเอียดคำขอ'!$B$6:$B$40,A11,'รายละเอียดคำขอ'!$D$6:$D$40,"ไม่สำเร็จ")</x:f>
        <x:v>0</x:v>
      </x:c>
      <x:c r="F11" s="95" t="n">
        <x:f>COUNTIFS('รายละเอียดคำขอ'!$B$6:$B$40,A11,'รายละเอียดคำขอ'!$E$6:$E$40,"สำเร็จ")</x:f>
        <x:v>1</x:v>
      </x:c>
      <x:c r="G11" s="96" t="n">
        <x:f>MINIFS('รายละเอียดคำขอ'!$F$6:$F$40,'รายละเอียดคำขอ'!$B$6:$B$40,A11)</x:f>
        <x:v>46234.47178240741</x:v>
      </x:c>
      <x:c r="H11" s="96" t="n">
        <x:f>MAXIFS('รายละเอียดคำขอ'!$F$6:$F$40,'รายละเอียดคำขอ'!$B$6:$B$40,A11)</x:f>
        <x:v>46234.47178240741</x:v>
      </x:c>
    </x:row>
    <x:row r="12" ht="22" customHeight="1">
      <x:c r="A12" s="85"/>
      <x:c r="B12" s="85"/>
      <x:c r="C12" s="85"/>
      <x:c r="D12" s="85"/>
      <x:c r="E12" s="85"/>
      <x:c r="F12" s="85"/>
      <x:c r="G12" s="85"/>
      <x:c r="H12" s="85"/>
    </x:row>
    <x:row r="13" ht="22" customHeight="1">
      <x:c r="A13" s="85"/>
      <x:c r="B13" s="85"/>
      <x:c r="C13" s="85"/>
      <x:c r="D13" s="85"/>
      <x:c r="E13" s="85"/>
      <x:c r="F13" s="85"/>
      <x:c r="G13" s="85"/>
      <x:c r="H13" s="85"/>
    </x:row>
    <x:row r="14" ht="22" customHeight="1">
      <x:c r="A14" s="97" t="str">
        <x:v>หมายเหตุ: รายงานนี้รวมทุกระเบียนในตาราง job_ticket รวมถึง receiver@example.com ซึ่งมีลักษณะเป็นอีเมลตัวอย่าง และสรุปจำนวนตาม total_job ของแต่ละคำขอ</x:v>
      </x:c>
      <x:c r="B14" s="98"/>
      <x:c r="C14" s="98"/>
      <x:c r="D14" s="98"/>
      <x:c r="E14" s="98"/>
      <x:c r="F14" s="98"/>
      <x:c r="G14" s="98"/>
      <x:c r="H14" s="99"/>
    </x:row>
    <x:row r="15" ht="22" customHeight="1">
      <x:c r="A15" s="100"/>
      <x:c r="B15" s="101"/>
      <x:c r="C15" s="101"/>
      <x:c r="D15" s="101"/>
      <x:c r="E15" s="101"/>
      <x:c r="F15" s="101"/>
      <x:c r="G15" s="101"/>
      <x:c r="H15" s="102"/>
    </x:row>
  </x:sheetData>
  <x:mergeCells>
    <x:mergeCell ref="A1:H2"/>
    <x:mergeCell ref="A3:H3"/>
    <x:mergeCell ref="A5:B5"/>
    <x:mergeCell ref="C5:D5"/>
    <x:mergeCell ref="E5:F5"/>
    <x:mergeCell ref="G5:H5"/>
    <x:mergeCell ref="A6:B6"/>
    <x:mergeCell ref="C6:D6"/>
    <x:mergeCell ref="E6:F6"/>
    <x:mergeCell ref="G6:H6"/>
    <x:mergeCell ref="A14:H15"/>
  </x:mergeCells>
  <x:pageMargins left="0.7" right="0.7" top="0.75" bottom="0.75" header="0.3" footer="0.3"/>
  <x:tableParts count="1">
    <x:tablePart xmlns:r="http://schemas.openxmlformats.org/officeDocument/2006/relationships" r:id="R683260d3dbcd4e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5" hidden="0" customWidth="1"/>
    <x:col min="4" max="4" width="19" hidden="0" customWidth="1"/>
    <x:col min="5" max="5" width="19" hidden="0" customWidth="1"/>
    <x:col min="6" max="6" width="22" hidden="0" customWidth="1"/>
  </x:cols>
  <x:sheetData>
    <x:row r="1" ht="30" customHeight="1">
      <x:c r="A1" s="103" t="str">
        <x:v>รายละเอียดคำขอ Guest Wi‑Fi ทั้งหมด</x:v>
      </x:c>
      <x:c r="B1" s="103"/>
      <x:c r="C1" s="103"/>
      <x:c r="D1" s="103"/>
      <x:c r="E1" s="103"/>
      <x:c r="F1" s="103"/>
    </x:row>
    <x:row r="2" ht="30" customHeight="1">
      <x:c r="A2" s="103"/>
      <x:c r="B2" s="103"/>
      <x:c r="C2" s="103"/>
      <x:c r="D2" s="103"/>
      <x:c r="E2" s="103"/>
      <x:c r="F2" s="103"/>
    </x:row>
    <x:row r="3" ht="21" customHeight="1">
      <x:c r="A3" s="84" t="str">
        <x:v>แหล่งข้อมูล: dbo.job_ticket | เวลาแสดงตามข้อมูลในระบบ | ไม่รวมข้อมูลรับรองการเข้าใช้งาน</x:v>
      </x:c>
      <x:c r="B3" s="84"/>
      <x:c r="C3" s="84"/>
      <x:c r="D3" s="84"/>
      <x:c r="E3" s="84"/>
      <x:c r="F3" s="84"/>
    </x:row>
    <x:row r="4" ht="21" customHeight="1">
      <x:c r="A4" s="85"/>
      <x:c r="B4" s="85"/>
      <x:c r="C4" s="85"/>
      <x:c r="D4" s="85"/>
      <x:c r="E4" s="85"/>
      <x:c r="F4" s="85"/>
    </x:row>
    <x:row r="5" ht="30" customHeight="1">
      <x:c r="A5" s="104" t="str">
        <x:v>Job ID</x:v>
      </x:c>
      <x:c r="B5" s="104" t="str">
        <x:v>อีเมลผู้ขอ</x:v>
      </x:c>
      <x:c r="C5" s="104" t="str">
        <x:v>จำนวนบัญชี</x:v>
      </x:c>
      <x:c r="D5" s="104" t="str">
        <x:v>สถานะการสร้าง</x:v>
      </x:c>
      <x:c r="E5" s="104" t="str">
        <x:v>สถานะส่งอีเมล</x:v>
      </x:c>
      <x:c r="F5" s="104" t="str">
        <x:v>วันที่สร้าง</x:v>
      </x:c>
    </x:row>
    <x:row r="6" ht="21" customHeight="1">
      <x:c r="A6" s="105" t="str">
        <x:v>2607300001</x:v>
      </x:c>
      <x:c r="B6" s="106" t="str">
        <x:v>receiver@example.com</x:v>
      </x:c>
      <x:c r="C6" s="107" t="n">
        <x:v>3</x:v>
      </x:c>
      <x:c r="D6" s="108" t="str">
        <x:v>สำเร็จ</x:v>
      </x:c>
      <x:c r="E6" s="108" t="str">
        <x:v>รอดำเนินการ</x:v>
      </x:c>
      <x:c r="F6" s="109" t="n">
        <x:v>46233.692453703705</x:v>
      </x:c>
    </x:row>
    <x:row r="7" ht="21" customHeight="1">
      <x:c r="A7" s="110" t="str">
        <x:v>2607300002</x:v>
      </x:c>
      <x:c r="B7" s="111" t="str">
        <x:v>receiver@example.com</x:v>
      </x:c>
      <x:c r="C7" s="112" t="n">
        <x:v>4</x:v>
      </x:c>
      <x:c r="D7" s="113" t="str">
        <x:v>สำเร็จ</x:v>
      </x:c>
      <x:c r="E7" s="113" t="str">
        <x:v>รอดำเนินการ</x:v>
      </x:c>
      <x:c r="F7" s="114" t="n">
        <x:v>46233.70039351852</x:v>
      </x:c>
    </x:row>
    <x:row r="8" ht="21" customHeight="1">
      <x:c r="A8" s="110" t="str">
        <x:v>2607300003</x:v>
      </x:c>
      <x:c r="B8" s="111" t="str">
        <x:v>receiver@example.com</x:v>
      </x:c>
      <x:c r="C8" s="112" t="n">
        <x:v>2</x:v>
      </x:c>
      <x:c r="D8" s="113" t="str">
        <x:v>สำเร็จ</x:v>
      </x:c>
      <x:c r="E8" s="113" t="str">
        <x:v>รอดำเนินการ</x:v>
      </x:c>
      <x:c r="F8" s="114" t="n">
        <x:v>46233.71890046296</x:v>
      </x:c>
    </x:row>
    <x:row r="9" ht="21" customHeight="1">
      <x:c r="A9" s="110" t="str">
        <x:v>2607310001</x:v>
      </x:c>
      <x:c r="B9" s="111" t="str">
        <x:v>phakorn_bu@thanulux.com</x:v>
      </x:c>
      <x:c r="C9" s="112" t="n">
        <x:v>3</x:v>
      </x:c>
      <x:c r="D9" s="113" t="str">
        <x:v>สำเร็จ</x:v>
      </x:c>
      <x:c r="E9" s="113" t="str">
        <x:v>สำเร็จ</x:v>
      </x:c>
      <x:c r="F9" s="114" t="n">
        <x:v>46234.40756944445</x:v>
      </x:c>
    </x:row>
    <x:row r="10" ht="21" customHeight="1">
      <x:c r="A10" s="110" t="str">
        <x:v>2607310002</x:v>
      </x:c>
      <x:c r="B10" s="111" t="str">
        <x:v>phakorn_bu@thanulux.com</x:v>
      </x:c>
      <x:c r="C10" s="112" t="n">
        <x:v>5</x:v>
      </x:c>
      <x:c r="D10" s="113" t="str">
        <x:v>สำเร็จ</x:v>
      </x:c>
      <x:c r="E10" s="113" t="str">
        <x:v>สำเร็จ</x:v>
      </x:c>
      <x:c r="F10" s="114" t="n">
        <x:v>46234.410266203704</x:v>
      </x:c>
    </x:row>
    <x:row r="11" ht="21" customHeight="1">
      <x:c r="A11" s="110" t="str">
        <x:v>2607310003</x:v>
      </x:c>
      <x:c r="B11" s="111" t="str">
        <x:v>phakorn_bu@thanulux.com</x:v>
      </x:c>
      <x:c r="C11" s="112" t="n">
        <x:v>6</x:v>
      </x:c>
      <x:c r="D11" s="113" t="str">
        <x:v>สำเร็จ</x:v>
      </x:c>
      <x:c r="E11" s="113" t="str">
        <x:v>สำเร็จ</x:v>
      </x:c>
      <x:c r="F11" s="114" t="n">
        <x:v>46234.41244212963</x:v>
      </x:c>
    </x:row>
    <x:row r="12" ht="21" customHeight="1">
      <x:c r="A12" s="110" t="str">
        <x:v>2607310004</x:v>
      </x:c>
      <x:c r="B12" s="111" t="str">
        <x:v>phakorn_bu@thanulux.com</x:v>
      </x:c>
      <x:c r="C12" s="112" t="n">
        <x:v>6</x:v>
      </x:c>
      <x:c r="D12" s="113" t="str">
        <x:v>สำเร็จ</x:v>
      </x:c>
      <x:c r="E12" s="113" t="str">
        <x:v>สำเร็จ</x:v>
      </x:c>
      <x:c r="F12" s="114" t="n">
        <x:v>46234.414247685185</x:v>
      </x:c>
    </x:row>
    <x:row r="13" ht="21" customHeight="1">
      <x:c r="A13" s="110" t="str">
        <x:v>2607310005</x:v>
      </x:c>
      <x:c r="B13" s="111" t="str">
        <x:v>phakorn_bu@thanulux.com</x:v>
      </x:c>
      <x:c r="C13" s="112" t="n">
        <x:v>6</x:v>
      </x:c>
      <x:c r="D13" s="113" t="str">
        <x:v>สำเร็จ</x:v>
      </x:c>
      <x:c r="E13" s="113" t="str">
        <x:v>สำเร็จ</x:v>
      </x:c>
      <x:c r="F13" s="114" t="n">
        <x:v>46234.41777777778</x:v>
      </x:c>
    </x:row>
    <x:row r="14" ht="21" customHeight="1">
      <x:c r="A14" s="110" t="str">
        <x:v>2607310006</x:v>
      </x:c>
      <x:c r="B14" s="111" t="str">
        <x:v>phakorn_bu@thanulux.com</x:v>
      </x:c>
      <x:c r="C14" s="112" t="n">
        <x:v>3</x:v>
      </x:c>
      <x:c r="D14" s="113" t="str">
        <x:v>สำเร็จ</x:v>
      </x:c>
      <x:c r="E14" s="113" t="str">
        <x:v>สำเร็จ</x:v>
      </x:c>
      <x:c r="F14" s="114" t="n">
        <x:v>46234.419375</x:v>
      </x:c>
    </x:row>
    <x:row r="15" ht="21" customHeight="1">
      <x:c r="A15" s="110" t="str">
        <x:v>2607310007</x:v>
      </x:c>
      <x:c r="B15" s="111" t="str">
        <x:v>phakorn_bu@thanulux.com</x:v>
      </x:c>
      <x:c r="C15" s="112" t="n">
        <x:v>3</x:v>
      </x:c>
      <x:c r="D15" s="113" t="str">
        <x:v>สำเร็จ</x:v>
      </x:c>
      <x:c r="E15" s="113" t="str">
        <x:v>สำเร็จ</x:v>
      </x:c>
      <x:c r="F15" s="114" t="n">
        <x:v>46234.4209375</x:v>
      </x:c>
    </x:row>
    <x:row r="16" ht="21" customHeight="1">
      <x:c r="A16" s="110" t="str">
        <x:v>2607310008</x:v>
      </x:c>
      <x:c r="B16" s="111" t="str">
        <x:v>phakorn_bu@thanulux.com</x:v>
      </x:c>
      <x:c r="C16" s="112" t="n">
        <x:v>4</x:v>
      </x:c>
      <x:c r="D16" s="113" t="str">
        <x:v>สำเร็จ</x:v>
      </x:c>
      <x:c r="E16" s="113" t="str">
        <x:v>สำเร็จ</x:v>
      </x:c>
      <x:c r="F16" s="114" t="n">
        <x:v>46234.4225</x:v>
      </x:c>
    </x:row>
    <x:row r="17" ht="21" customHeight="1">
      <x:c r="A17" s="110" t="str">
        <x:v>2607310009</x:v>
      </x:c>
      <x:c r="B17" s="111" t="str">
        <x:v>phakorn_bu@thanulux.com</x:v>
      </x:c>
      <x:c r="C17" s="112" t="n">
        <x:v>4</x:v>
      </x:c>
      <x:c r="D17" s="113" t="str">
        <x:v>ไม่สำเร็จ</x:v>
      </x:c>
      <x:c r="E17" s="113" t="str">
        <x:v>รอดำเนินการ</x:v>
      </x:c>
      <x:c r="F17" s="114" t="n">
        <x:v>46234.42458333333</x:v>
      </x:c>
    </x:row>
    <x:row r="18" ht="21" customHeight="1">
      <x:c r="A18" s="110" t="str">
        <x:v>2607310010</x:v>
      </x:c>
      <x:c r="B18" s="111" t="str">
        <x:v>phakorn_bu@thanulux.com</x:v>
      </x:c>
      <x:c r="C18" s="112" t="n">
        <x:v>4</x:v>
      </x:c>
      <x:c r="D18" s="113" t="str">
        <x:v>สำเร็จ</x:v>
      </x:c>
      <x:c r="E18" s="113" t="str">
        <x:v>สำเร็จ</x:v>
      </x:c>
      <x:c r="F18" s="114" t="n">
        <x:v>46234.426620370374</x:v>
      </x:c>
    </x:row>
    <x:row r="19" ht="21" customHeight="1">
      <x:c r="A19" s="110" t="str">
        <x:v>2607310011</x:v>
      </x:c>
      <x:c r="B19" s="111" t="str">
        <x:v>phakorn_bu@thanulux.com</x:v>
      </x:c>
      <x:c r="C19" s="112" t="n">
        <x:v>4</x:v>
      </x:c>
      <x:c r="D19" s="113" t="str">
        <x:v>สำเร็จ</x:v>
      </x:c>
      <x:c r="E19" s="113" t="str">
        <x:v>สำเร็จ</x:v>
      </x:c>
      <x:c r="F19" s="114" t="n">
        <x:v>46234.42802083334</x:v>
      </x:c>
    </x:row>
    <x:row r="20" ht="21" customHeight="1">
      <x:c r="A20" s="110" t="str">
        <x:v>2607310012</x:v>
      </x:c>
      <x:c r="B20" s="111" t="str">
        <x:v>phakorn_bu@thanulux.com</x:v>
      </x:c>
      <x:c r="C20" s="112" t="n">
        <x:v>5</x:v>
      </x:c>
      <x:c r="D20" s="113" t="str">
        <x:v>สำเร็จ</x:v>
      </x:c>
      <x:c r="E20" s="113" t="str">
        <x:v>สำเร็จ</x:v>
      </x:c>
      <x:c r="F20" s="114" t="n">
        <x:v>46234.45476851852</x:v>
      </x:c>
    </x:row>
    <x:row r="21" ht="21" customHeight="1">
      <x:c r="A21" s="110" t="str">
        <x:v>2607310013</x:v>
      </x:c>
      <x:c r="B21" s="111" t="str">
        <x:v>phakorn_bu@thanulux.com</x:v>
      </x:c>
      <x:c r="C21" s="112" t="n">
        <x:v>6</x:v>
      </x:c>
      <x:c r="D21" s="113" t="str">
        <x:v>สำเร็จ</x:v>
      </x:c>
      <x:c r="E21" s="113" t="str">
        <x:v>สำเร็จ</x:v>
      </x:c>
      <x:c r="F21" s="114" t="n">
        <x:v>46234.45662037037</x:v>
      </x:c>
    </x:row>
    <x:row r="22" ht="21" customHeight="1">
      <x:c r="A22" s="110" t="str">
        <x:v>2607310014</x:v>
      </x:c>
      <x:c r="B22" s="111" t="str">
        <x:v>phakorn.7235@gmail.com</x:v>
      </x:c>
      <x:c r="C22" s="112" t="n">
        <x:v>4</x:v>
      </x:c>
      <x:c r="D22" s="113" t="str">
        <x:v>สำเร็จ</x:v>
      </x:c>
      <x:c r="E22" s="113" t="str">
        <x:v>สำเร็จ</x:v>
      </x:c>
      <x:c r="F22" s="114" t="n">
        <x:v>46234.47178240741</x:v>
      </x:c>
    </x:row>
    <x:row r="23" ht="21" customHeight="1">
      <x:c r="A23" s="110" t="str">
        <x:v>2607310015</x:v>
      </x:c>
      <x:c r="B23" s="111" t="str">
        <x:v>phakorn_bu@thanulux.com</x:v>
      </x:c>
      <x:c r="C23" s="112" t="n">
        <x:v>2</x:v>
      </x:c>
      <x:c r="D23" s="113" t="str">
        <x:v>สำเร็จ</x:v>
      </x:c>
      <x:c r="E23" s="113" t="str">
        <x:v>สำเร็จ</x:v>
      </x:c>
      <x:c r="F23" s="114" t="n">
        <x:v>46234.480104166665</x:v>
      </x:c>
    </x:row>
    <x:row r="24" ht="21" customHeight="1">
      <x:c r="A24" s="110" t="str">
        <x:v>2607310016</x:v>
      </x:c>
      <x:c r="B24" s="111" t="str">
        <x:v>phakorn_bu@thanulux.com</x:v>
      </x:c>
      <x:c r="C24" s="112" t="n">
        <x:v>1</x:v>
      </x:c>
      <x:c r="D24" s="113" t="str">
        <x:v>สำเร็จ</x:v>
      </x:c>
      <x:c r="E24" s="113" t="str">
        <x:v>สำเร็จ</x:v>
      </x:c>
      <x:c r="F24" s="114" t="n">
        <x:v>46234.54215277778</x:v>
      </x:c>
    </x:row>
    <x:row r="25" ht="21" customHeight="1">
      <x:c r="A25" s="110" t="str">
        <x:v>2607310017</x:v>
      </x:c>
      <x:c r="B25" s="111" t="str">
        <x:v>phakorn_bu@thanulux.com</x:v>
      </x:c>
      <x:c r="C25" s="112" t="n">
        <x:v>2</x:v>
      </x:c>
      <x:c r="D25" s="113" t="str">
        <x:v>สำเร็จ</x:v>
      </x:c>
      <x:c r="E25" s="113" t="str">
        <x:v>สำเร็จ</x:v>
      </x:c>
      <x:c r="F25" s="114" t="n">
        <x:v>46234.555300925924</x:v>
      </x:c>
    </x:row>
    <x:row r="26" ht="21" customHeight="1">
      <x:c r="A26" s="110" t="str">
        <x:v>2607310018</x:v>
      </x:c>
      <x:c r="B26" s="111" t="str">
        <x:v>phakorn_bu@thanulux.com</x:v>
      </x:c>
      <x:c r="C26" s="112" t="n">
        <x:v>4</x:v>
      </x:c>
      <x:c r="D26" s="113" t="str">
        <x:v>สำเร็จ</x:v>
      </x:c>
      <x:c r="E26" s="113" t="str">
        <x:v>สำเร็จ</x:v>
      </x:c>
      <x:c r="F26" s="114" t="n">
        <x:v>46234.56334490741</x:v>
      </x:c>
    </x:row>
    <x:row r="27" ht="21" customHeight="1">
      <x:c r="A27" s="110" t="str">
        <x:v>2607310019</x:v>
      </x:c>
      <x:c r="B27" s="111" t="str">
        <x:v>phakorn_bu@thanulux.com</x:v>
      </x:c>
      <x:c r="C27" s="112" t="n">
        <x:v>10</x:v>
      </x:c>
      <x:c r="D27" s="113" t="str">
        <x:v>สำเร็จ</x:v>
      </x:c>
      <x:c r="E27" s="113" t="str">
        <x:v>สำเร็จ</x:v>
      </x:c>
      <x:c r="F27" s="114" t="n">
        <x:v>46234.5709375</x:v>
      </x:c>
    </x:row>
    <x:row r="28" ht="21" customHeight="1">
      <x:c r="A28" s="110" t="str">
        <x:v>2607310020</x:v>
      </x:c>
      <x:c r="B28" s="111" t="str">
        <x:v>phakorn_bu@thanulux.com</x:v>
      </x:c>
      <x:c r="C28" s="112" t="n">
        <x:v>1</x:v>
      </x:c>
      <x:c r="D28" s="113" t="str">
        <x:v>สำเร็จ</x:v>
      </x:c>
      <x:c r="E28" s="113" t="str">
        <x:v>สำเร็จ</x:v>
      </x:c>
      <x:c r="F28" s="114" t="n">
        <x:v>46234.58667824074</x:v>
      </x:c>
    </x:row>
    <x:row r="29" ht="21" customHeight="1">
      <x:c r="A29" s="110" t="str">
        <x:v>2607310021</x:v>
      </x:c>
      <x:c r="B29" s="111" t="str">
        <x:v>phakorn_bu@thanulux.com</x:v>
      </x:c>
      <x:c r="C29" s="112" t="n">
        <x:v>3</x:v>
      </x:c>
      <x:c r="D29" s="113" t="str">
        <x:v>สำเร็จ</x:v>
      </x:c>
      <x:c r="E29" s="113" t="str">
        <x:v>สำเร็จ</x:v>
      </x:c>
      <x:c r="F29" s="114" t="n">
        <x:v>46234.62383101852</x:v>
      </x:c>
    </x:row>
    <x:row r="30" ht="21" customHeight="1">
      <x:c r="A30" s="110" t="str">
        <x:v>2607310022</x:v>
      </x:c>
      <x:c r="B30" s="111" t="str">
        <x:v>phakorn_bu@thanulux.com</x:v>
      </x:c>
      <x:c r="C30" s="112" t="n">
        <x:v>3</x:v>
      </x:c>
      <x:c r="D30" s="113" t="str">
        <x:v>สำเร็จ</x:v>
      </x:c>
      <x:c r="E30" s="113" t="str">
        <x:v>สำเร็จ</x:v>
      </x:c>
      <x:c r="F30" s="114" t="n">
        <x:v>46234.63091435185</x:v>
      </x:c>
    </x:row>
    <x:row r="31" ht="21" customHeight="1">
      <x:c r="A31" s="110" t="str">
        <x:v>2607310023</x:v>
      </x:c>
      <x:c r="B31" s="111" t="str">
        <x:v>phakorn_bu@thanulux.com</x:v>
      </x:c>
      <x:c r="C31" s="112" t="n">
        <x:v>4</x:v>
      </x:c>
      <x:c r="D31" s="113" t="str">
        <x:v>สำเร็จ</x:v>
      </x:c>
      <x:c r="E31" s="113" t="str">
        <x:v>สำเร็จ</x:v>
      </x:c>
      <x:c r="F31" s="114" t="n">
        <x:v>46234.655335648145</x:v>
      </x:c>
    </x:row>
    <x:row r="32" ht="21" customHeight="1">
      <x:c r="A32" s="110" t="str">
        <x:v>2607310024</x:v>
      </x:c>
      <x:c r="B32" s="111" t="str">
        <x:v>phakorn_bu@thanulux.com</x:v>
      </x:c>
      <x:c r="C32" s="112" t="n">
        <x:v>3</x:v>
      </x:c>
      <x:c r="D32" s="113" t="str">
        <x:v>สำเร็จ</x:v>
      </x:c>
      <x:c r="E32" s="113" t="str">
        <x:v>สำเร็จ</x:v>
      </x:c>
      <x:c r="F32" s="114" t="n">
        <x:v>46234.6952662037</x:v>
      </x:c>
    </x:row>
    <x:row r="33" ht="21" customHeight="1">
      <x:c r="A33" s="110" t="str">
        <x:v>2608030001</x:v>
      </x:c>
      <x:c r="B33" s="111" t="str">
        <x:v>phakorn_bu@thanulux.com</x:v>
      </x:c>
      <x:c r="C33" s="112" t="n">
        <x:v>1</x:v>
      </x:c>
      <x:c r="D33" s="113" t="str">
        <x:v>สำเร็จ</x:v>
      </x:c>
      <x:c r="E33" s="113" t="str">
        <x:v>สำเร็จ</x:v>
      </x:c>
      <x:c r="F33" s="114" t="n">
        <x:v>46237.38778935185</x:v>
      </x:c>
    </x:row>
    <x:row r="34" ht="21" customHeight="1">
      <x:c r="A34" s="110" t="str">
        <x:v>2608030002</x:v>
      </x:c>
      <x:c r="B34" s="111" t="str">
        <x:v>phakorn_bu@thanulux.com</x:v>
      </x:c>
      <x:c r="C34" s="112" t="n">
        <x:v>2</x:v>
      </x:c>
      <x:c r="D34" s="113" t="str">
        <x:v>สำเร็จ</x:v>
      </x:c>
      <x:c r="E34" s="113" t="str">
        <x:v>สำเร็จ</x:v>
      </x:c>
      <x:c r="F34" s="114" t="n">
        <x:v>46237.404756944445</x:v>
      </x:c>
    </x:row>
    <x:row r="35" ht="21" customHeight="1">
      <x:c r="A35" s="110" t="str">
        <x:v>2608030003</x:v>
      </x:c>
      <x:c r="B35" s="111" t="str">
        <x:v>phakorn_bu@thanulux.com</x:v>
      </x:c>
      <x:c r="C35" s="112" t="n">
        <x:v>10</x:v>
      </x:c>
      <x:c r="D35" s="113" t="str">
        <x:v>สำเร็จ</x:v>
      </x:c>
      <x:c r="E35" s="113" t="str">
        <x:v>สำเร็จ</x:v>
      </x:c>
      <x:c r="F35" s="114" t="n">
        <x:v>46237.46574074074</x:v>
      </x:c>
    </x:row>
    <x:row r="36" ht="21" customHeight="1">
      <x:c r="A36" s="110" t="str">
        <x:v>2608030004</x:v>
      </x:c>
      <x:c r="B36" s="111" t="str">
        <x:v>phakorn_bu@thanulux.com</x:v>
      </x:c>
      <x:c r="C36" s="112" t="n">
        <x:v>1</x:v>
      </x:c>
      <x:c r="D36" s="113" t="str">
        <x:v>สำเร็จ</x:v>
      </x:c>
      <x:c r="E36" s="113" t="str">
        <x:v>สำเร็จ</x:v>
      </x:c>
      <x:c r="F36" s="114" t="n">
        <x:v>46237.53922453704</x:v>
      </x:c>
    </x:row>
    <x:row r="37" ht="21" customHeight="1">
      <x:c r="A37" s="110" t="str">
        <x:v>2608050001</x:v>
      </x:c>
      <x:c r="B37" s="111" t="str">
        <x:v>phakorn_bu@thanulux.com</x:v>
      </x:c>
      <x:c r="C37" s="112" t="n">
        <x:v>3</x:v>
      </x:c>
      <x:c r="D37" s="113" t="str">
        <x:v>สำเร็จ</x:v>
      </x:c>
      <x:c r="E37" s="113" t="str">
        <x:v>สำเร็จ</x:v>
      </x:c>
      <x:c r="F37" s="114" t="n">
        <x:v>46239.48876157407</x:v>
      </x:c>
    </x:row>
    <x:row r="38" ht="21" customHeight="1">
      <x:c r="A38" s="110" t="str">
        <x:v>2608050002</x:v>
      </x:c>
      <x:c r="B38" s="111" t="str">
        <x:v>phakorn_bu@thanulux.com</x:v>
      </x:c>
      <x:c r="C38" s="112" t="n">
        <x:v>1</x:v>
      </x:c>
      <x:c r="D38" s="113" t="str">
        <x:v>สำเร็จ</x:v>
      </x:c>
      <x:c r="E38" s="113" t="str">
        <x:v>สำเร็จ</x:v>
      </x:c>
      <x:c r="F38" s="114" t="n">
        <x:v>46239.491006944445</x:v>
      </x:c>
    </x:row>
    <x:row r="39" ht="21" customHeight="1">
      <x:c r="A39" s="110" t="str">
        <x:v>2608050003</x:v>
      </x:c>
      <x:c r="B39" s="111" t="str">
        <x:v>phakorn_bu@thanulux.com</x:v>
      </x:c>
      <x:c r="C39" s="112" t="n">
        <x:v>1</x:v>
      </x:c>
      <x:c r="D39" s="113" t="str">
        <x:v>สำเร็จ</x:v>
      </x:c>
      <x:c r="E39" s="113" t="str">
        <x:v>สำเร็จ</x:v>
      </x:c>
      <x:c r="F39" s="114" t="n">
        <x:v>46239.613344907404</x:v>
      </x:c>
    </x:row>
    <x:row r="40" ht="21" customHeight="1">
      <x:c r="A40" s="115" t="str">
        <x:v>2608060001</x:v>
      </x:c>
      <x:c r="B40" s="116" t="str">
        <x:v>phakorn_bu@thanulux.com</x:v>
      </x:c>
      <x:c r="C40" s="117" t="n">
        <x:v>3</x:v>
      </x:c>
      <x:c r="D40" s="118" t="str">
        <x:v>สำเร็จ</x:v>
      </x:c>
      <x:c r="E40" s="118" t="str">
        <x:v>สำเร็จ</x:v>
      </x:c>
      <x:c r="F40" s="119" t="n">
        <x:v>46240.47519675926</x:v>
      </x:c>
    </x:row>
  </x:sheetData>
  <x:mergeCells>
    <x:mergeCell ref="A1:F2"/>
    <x:mergeCell ref="A3:F3"/>
  </x:mergeCells>
  <x:conditionalFormatting sqref="D6:D40">
    <x:cfRule type="containsText" dxfId="0" priority="1" operator="containsText" text="ไม่สำเร็จ"/>
  </x:conditionalFormatting>
  <x:conditionalFormatting sqref="E6:E40">
    <x:cfRule type="containsText" dxfId="1" priority="2" operator="containsText" text="รอดำเนินการ"/>
  </x:conditionalFormatting>
  <x:pageMargins left="0.7" right="0.7" top="0.75" bottom="0.75" header="0.3" footer="0.3"/>
  <x:tableParts count="1">
    <x:tablePart xmlns:r="http://schemas.openxmlformats.org/officeDocument/2006/relationships" r:id="Raec067232f6f4b38"/>
  </x:tableParts>
</x:worksheet>
</file>