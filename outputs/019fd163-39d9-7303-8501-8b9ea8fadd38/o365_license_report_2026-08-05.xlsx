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100c3363a941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สรุป" sheetId="1" r:id="Rd4a6db5b86c0454b"/>
    <x:sheet xmlns:r="http://schemas.openxmlformats.org/officeDocument/2006/relationships" name="รายชื่อทั้งหมด" sheetId="2" r:id="R334dc13ffdea4869"/>
    <x:sheet xmlns:r="http://schemas.openxmlformats.org/officeDocument/2006/relationships" name="Business Basic" sheetId="3" r:id="Rd4bb496836774f47"/>
    <x:sheet xmlns:r="http://schemas.openxmlformats.org/officeDocument/2006/relationships" name="Business Standard" sheetId="4" r:id="R15e89dc31b3e4b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F3F6F9"/>
      </x:patternFill>
    </x:fill>
    <x:fill>
      <x:patternFill patternType="solid">
        <x:fgColor rgb="FF17365D"/>
      </x:patternFill>
    </x:fill>
    <x:fill>
      <x:patternFill patternType="solid">
        <x:fgColor rgb="FF0F6B78"/>
      </x:patternFill>
    </x:fill>
    <x:fill>
      <x:patternFill patternType="solid">
        <x:fgColor rgb="FF548235"/>
      </x:patternFill>
    </x:fill>
    <x:fill>
      <x:patternFill patternType="solid">
        <x:fgColor rgb="FFD9EAF7"/>
      </x:patternFill>
    </x:fill>
  </x:fills>
  <x:borders count="11">
    <x:border/>
    <x:border>
      <x:left style="thin">
        <x:color rgb="FFD6DEE8"/>
      </x:left>
      <x:top style="thin">
        <x:color rgb="FFD6DEE8"/>
      </x:top>
    </x:border>
    <x:border>
      <x:right style="thin">
        <x:color rgb="FFD6DEE8"/>
      </x:right>
      <x:top style="thin">
        <x:color rgb="FFD6DEE8"/>
      </x:top>
    </x:border>
    <x:border>
      <x:left style="thin">
        <x:color rgb="FFD6DEE8"/>
      </x:left>
    </x:border>
    <x:border>
      <x:right style="thin">
        <x:color rgb="FFD6DEE8"/>
      </x:right>
    </x:border>
    <x:border>
      <x:left style="thin">
        <x:color rgb="FFD6DEE8"/>
      </x:left>
      <x:bottom style="thin">
        <x:color rgb="FFD6DEE8"/>
      </x:bottom>
    </x:border>
    <x:border>
      <x:right style="thin">
        <x:color rgb="FFD6DEE8"/>
      </x:right>
      <x:bottom style="thin">
        <x:color rgb="FFD6DEE8"/>
      </x:bottom>
    </x:border>
    <x:border>
      <x:bottom style="double">
        <x:color rgb="FF17365D"/>
      </x:bottom>
    </x:border>
    <x:border>
      <x:bottom style="thin">
        <x:color rgb="FFD6DEE8"/>
      </x:bottom>
    </x:border>
    <x:border>
      <x:top style="thin">
        <x:color rgb="FFD6DEE8"/>
      </x:top>
      <x:bottom style="thin">
        <x:color rgb="FFD6DEE8"/>
      </x:bottom>
    </x:border>
    <x:border>
      <x:top style="thin">
        <x:color rgb="FFD6DEE8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0" borderId="2" xfId="0" applyNumberFormat="1" applyFont="1" applyFill="1" applyBorder="1"/>
    <x:xf numFmtId="0" fontId="4" fillId="0" borderId="4" xfId="0" applyNumberFormat="1" applyFont="1" applyFill="1" applyBorder="1"/>
    <x:xf numFmtId="0" fontId="4" fillId="0" borderId="6" xfId="0" applyNumberFormat="1" applyFont="1" applyFill="1" applyBorder="1"/>
    <x:xf numFmtId="200" fontId="4" fillId="0" borderId="2" xfId="0" applyNumberFormat="1" applyFont="1" applyFill="1" applyBorder="1"/>
    <x:xf numFmtId="200" fontId="4" fillId="0" borderId="4" xfId="0" applyNumberFormat="1" applyFont="1" applyFill="1" applyBorder="1"/>
    <x:xf numFmtId="200" fontId="4" fillId="0" borderId="6" xfId="0" applyNumberFormat="1" applyFont="1" applyFill="1" applyBorder="1"/>
    <x:xf numFmtId="200" fontId="4" fillId="0" borderId="2" xfId="0" applyNumberFormat="1" applyFont="1" applyFill="1" applyBorder="1" applyAlignment="1">
      <x:alignment horizontal="right"/>
    </x:xf>
    <x:xf numFmtId="200" fontId="4" fillId="0" borderId="4" xfId="0" applyNumberFormat="1" applyFont="1" applyFill="1" applyBorder="1" applyAlignment="1">
      <x:alignment horizontal="right"/>
    </x:xf>
    <x:xf numFmtId="200" fontId="4" fillId="0" borderId="6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7" xfId="0" applyNumberFormat="1" applyFont="1" applyFill="1" applyBorder="1"/>
    <x:xf numFmtId="200" fontId="0" fillId="0" borderId="0" xfId="0" applyNumberFormat="1" applyFont="1" applyFill="1" applyBorder="1"/>
    <x:xf numFmtId="200" fontId="5" fillId="7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 wrapText="1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5" fillId="7" borderId="10" xfId="0" applyNumberFormat="1" applyFont="1" applyFill="1" applyBorder="1"/>
    <x:xf numFmtId="200" fontId="5" fillId="7" borderId="10" xfId="0" applyNumberFormat="1" applyFont="1" applyFill="1" applyBorder="1"/>
    <x:xf numFmtId="0" fontId="0" fillId="0" borderId="9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right"/>
    </x:xf>
    <x:xf numFmtId="200" fontId="5" fillId="7" borderId="1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00eaf982b54be9" /><Relationship Type="http://schemas.openxmlformats.org/officeDocument/2006/relationships/theme" Target="/xl/theme/theme1.xml" Id="R3ef35f9933dc4fc2" /><Relationship Type="http://schemas.openxmlformats.org/officeDocument/2006/relationships/sharedStrings" Target="/xl/sharedStrings.xml" Id="Re972acdf9e5f4229" /><Relationship Type="http://schemas.openxmlformats.org/officeDocument/2006/relationships/worksheet" Target="/xl/worksheets/sheet1.xml" Id="Rd4a6db5b86c0454b" /><Relationship Type="http://schemas.openxmlformats.org/officeDocument/2006/relationships/worksheet" Target="/xl/worksheets/sheet2.xml" Id="R334dc13ffdea4869" /><Relationship Type="http://schemas.openxmlformats.org/officeDocument/2006/relationships/worksheet" Target="/xl/worksheets/sheet3.xml" Id="Rd4bb496836774f47" /><Relationship Type="http://schemas.openxmlformats.org/officeDocument/2006/relationships/worksheet" Target="/xl/worksheets/sheet4.xml" Id="R15e89dc31b3e4b06" /></Relationships>
</file>

<file path=xl/tables/table1.xml><?xml version="1.0" encoding="utf-8"?>
<x:table xmlns:x="http://schemas.openxmlformats.org/spreadsheetml/2006/main" id="1" name="AllLicensesTable" displayName="AllLicensesTable" ref="A4:L111" headerRowCount="1" totalsRowCount="0" totalsRowShown="0">
  <x:autoFilter ref="A4:L111"/>
  <x:tableColumns count="12">
    <x:tableColumn id="1" name="ลำดับ"/>
    <x:tableColumn id="2" name="รหัสพนักงาน"/>
    <x:tableColumn id="3" name="ชื่อ-นามสกุล"/>
    <x:tableColumn id="4" name="ชื่อภาษาอังกฤษ"/>
    <x:tableColumn id="5" name="ชื่อเล่น"/>
    <x:tableColumn id="6" name="อีเมล"/>
    <x:tableColumn id="7" name="รหัสแผนก"/>
    <x:tableColumn id="8" name="แผนก"/>
    <x:tableColumn id="9" name="Cost Center"/>
    <x:tableColumn id="10" name="ชื่อ Cost Center"/>
    <x:tableColumn id="11" name="รหัส License"/>
    <x:tableColumn id="12" name="ประเภท Licen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sinessBasicTable" displayName="BusinessBasicTable" ref="A4:L76" headerRowCount="1" totalsRowCount="0" totalsRowShown="0">
  <x:autoFilter ref="A4:L76"/>
  <x:tableColumns count="12">
    <x:tableColumn id="1" name="ลำดับ"/>
    <x:tableColumn id="2" name="รหัสพนักงาน"/>
    <x:tableColumn id="3" name="ชื่อ-นามสกุล"/>
    <x:tableColumn id="4" name="ชื่อภาษาอังกฤษ"/>
    <x:tableColumn id="5" name="ชื่อเล่น"/>
    <x:tableColumn id="6" name="อีเมล"/>
    <x:tableColumn id="7" name="รหัสแผนก"/>
    <x:tableColumn id="8" name="แผนก"/>
    <x:tableColumn id="9" name="Cost Center"/>
    <x:tableColumn id="10" name="ชื่อ Cost Center"/>
    <x:tableColumn id="11" name="รหัส License"/>
    <x:tableColumn id="12" name="ประเภท Licen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sinessStandardTable" displayName="BusinessStandardTable" ref="A4:L39" headerRowCount="1" totalsRowCount="0" totalsRowShown="0">
  <x:autoFilter ref="A4:L39"/>
  <x:tableColumns count="12">
    <x:tableColumn id="1" name="ลำดับ"/>
    <x:tableColumn id="2" name="รหัสพนักงาน"/>
    <x:tableColumn id="3" name="ชื่อ-นามสกุล"/>
    <x:tableColumn id="4" name="ชื่อภาษาอังกฤษ"/>
    <x:tableColumn id="5" name="ชื่อเล่น"/>
    <x:tableColumn id="6" name="อีเมล"/>
    <x:tableColumn id="7" name="รหัสแผนก"/>
    <x:tableColumn id="8" name="แผนก"/>
    <x:tableColumn id="9" name="Cost Center"/>
    <x:tableColumn id="10" name="ชื่อ Cost Center"/>
    <x:tableColumn id="11" name="รหัส License"/>
    <x:tableColumn id="12" name="ประเภท Licen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3abe753c7443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345a38681f240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68e5e4b2a647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18" hidden="0" customWidth="1"/>
    <x:col min="5" max="5" width="12" hidden="0" customWidth="1"/>
  </x:cols>
  <x:sheetData>
    <x:row r="1" ht="32" customHeight="1">
      <x:c r="A1" s="22" t="str">
        <x:v>สรุป Microsoft 365 License แยกตามประเภทและแผนก</x:v>
      </x:c>
      <x:c r="B1" s="22"/>
      <x:c r="C1" s="22"/>
      <x:c r="D1" s="22"/>
      <x:c r="E1" s="22"/>
    </x:row>
    <x:row r="2">
      <x:c r="A2" s="5" t="str">
        <x:v>ข้อมูล ณ วันที่ 5 สิงหาคม 2026 | แหล่งข้อมูล: O365 License (read-only)</x:v>
      </x:c>
      <x:c r="B2" s="5"/>
      <x:c r="C2" s="5"/>
      <x:c r="D2" s="5"/>
      <x:c r="E2" s="5"/>
    </x:row>
    <x:row r="4">
      <x:c r="A4" s="24" t="str">
        <x:v>รายการ</x:v>
      </x:c>
      <x:c r="B4" s="24" t="str">
        <x:v>จำนวน</x:v>
      </x:c>
    </x:row>
    <x:row r="5">
      <x:c r="A5" s="25" t="str">
        <x:v>License ทั้งหมด</x:v>
      </x:c>
      <x:c r="B5" s="37" t="n">
        <x:f>COUNTA('รายชื่อทั้งหมด'!$B$5:$B$111)</x:f>
        <x:v>107</x:v>
      </x:c>
    </x:row>
    <x:row r="6">
      <x:c r="A6" s="27" t="str">
        <x:v>Business Basic</x:v>
      </x:c>
      <x:c r="B6" s="38" t="n">
        <x:f>COUNTIF('รายชื่อทั้งหมด'!$L$5:$L$111,"Microsoft 365 Business Basic")</x:f>
        <x:v>72</x:v>
      </x:c>
    </x:row>
    <x:row r="7">
      <x:c r="A7" s="29" t="str">
        <x:v>Business Standard</x:v>
      </x:c>
      <x:c r="B7" s="39" t="n">
        <x:f>COUNTIF('รายชื่อทั้งหมด'!$L$5:$L$111,"Microsoft 365 Business Standard")</x:f>
        <x:v>35</x:v>
      </x:c>
    </x:row>
    <x:row r="10">
      <x:c r="A10" s="45" t="str">
        <x:v>รหัสแผนก</x:v>
      </x:c>
      <x:c r="B10" s="45" t="str">
        <x:v>แผนก</x:v>
      </x:c>
      <x:c r="C10" s="45" t="str">
        <x:v>Business Basic</x:v>
      </x:c>
      <x:c r="D10" s="45" t="str">
        <x:v>Business Standard</x:v>
      </x:c>
      <x:c r="E10" s="45" t="str">
        <x:v>รวม</x:v>
      </x:c>
    </x:row>
    <x:row r="11">
      <x:c r="A11" s="50" t="str">
        <x:v>1KA00</x:v>
      </x:c>
      <x:c r="B11" s="46" t="str">
        <x:v>ผู้บริหาร</x:v>
      </x:c>
      <x:c r="C11" s="51" t="n">
        <x:f>COUNTIFS('รายชื่อทั้งหมด'!$G$5:$G$111,A11,'รายชื่อทั้งหมด'!$L$5:$L$111,"Microsoft 365 Business Basic")</x:f>
        <x:v>0</x:v>
      </x:c>
      <x:c r="D11" s="51" t="n">
        <x:f>COUNTIFS('รายชื่อทั้งหมด'!$G$5:$G$111,A11,'รายชื่อทั้งหมด'!$L$5:$L$111,"Microsoft 365 Business Standard")</x:f>
        <x:v>1</x:v>
      </x:c>
      <x:c r="E11" s="51" t="n">
        <x:f>SUM(C11:D11)</x:f>
        <x:v>1</x:v>
      </x:c>
    </x:row>
    <x:row r="12">
      <x:c r="A12" s="50" t="str">
        <x:v>1RI01</x:v>
      </x:c>
      <x:c r="B12" s="46" t="str">
        <x:v>หน่วยวิจัยพัฒนา</x:v>
      </x:c>
      <x:c r="C12" s="51" t="n">
        <x:f>COUNTIFS('รายชื่อทั้งหมด'!$G$5:$G$111,A12,'รายชื่อทั้งหมด'!$L$5:$L$111,"Microsoft 365 Business Basic")</x:f>
        <x:v>0</x:v>
      </x:c>
      <x:c r="D12" s="51" t="n">
        <x:f>COUNTIFS('รายชื่อทั้งหมด'!$G$5:$G$111,A12,'รายชื่อทั้งหมด'!$L$5:$L$111,"Microsoft 365 Business Standard")</x:f>
        <x:v>1</x:v>
      </x:c>
      <x:c r="E12" s="51" t="n">
        <x:f>SUM(C12:D12)</x:f>
        <x:v>1</x:v>
      </x:c>
    </x:row>
    <x:row r="13">
      <x:c r="A13" s="50" t="str">
        <x:v>2AM01</x:v>
      </x:c>
      <x:c r="B13" s="46" t="str">
        <x:v>แผนกบัญชี</x:v>
      </x:c>
      <x:c r="C13" s="51" t="n">
        <x:f>COUNTIFS('รายชื่อทั้งหมด'!$G$5:$G$111,A13,'รายชื่อทั้งหมด'!$L$5:$L$111,"Microsoft 365 Business Basic")</x:f>
        <x:v>0</x:v>
      </x:c>
      <x:c r="D13" s="51" t="n">
        <x:f>COUNTIFS('รายชื่อทั้งหมด'!$G$5:$G$111,A13,'รายชื่อทั้งหมด'!$L$5:$L$111,"Microsoft 365 Business Standard")</x:f>
        <x:v>5</x:v>
      </x:c>
      <x:c r="E13" s="51" t="n">
        <x:f>SUM(C13:D13)</x:f>
        <x:v>5</x:v>
      </x:c>
    </x:row>
    <x:row r="14">
      <x:c r="A14" s="50" t="str">
        <x:v>2AM03</x:v>
      </x:c>
      <x:c r="B14" s="46" t="str">
        <x:v>ฝ่าย HR</x:v>
      </x:c>
      <x:c r="C14" s="51" t="n">
        <x:f>COUNTIFS('รายชื่อทั้งหมด'!$G$5:$G$111,A14,'รายชื่อทั้งหมด'!$L$5:$L$111,"Microsoft 365 Business Basic")</x:f>
        <x:v>1</x:v>
      </x:c>
      <x:c r="D14" s="51" t="n">
        <x:f>COUNTIFS('รายชื่อทั้งหมด'!$G$5:$G$111,A14,'รายชื่อทั้งหมด'!$L$5:$L$111,"Microsoft 365 Business Standard")</x:f>
        <x:v>2</x:v>
      </x:c>
      <x:c r="E14" s="51" t="n">
        <x:f>SUM(C14:D14)</x:f>
        <x:v>3</x:v>
      </x:c>
    </x:row>
    <x:row r="15">
      <x:c r="A15" s="50" t="str">
        <x:v>2AM04</x:v>
      </x:c>
      <x:c r="B15" s="46" t="str">
        <x:v>ฝ่าย IT</x:v>
      </x:c>
      <x:c r="C15" s="51" t="n">
        <x:f>COUNTIFS('รายชื่อทั้งหมด'!$G$5:$G$111,A15,'รายชื่อทั้งหมด'!$L$5:$L$111,"Microsoft 365 Business Basic")</x:f>
        <x:v>18</x:v>
      </x:c>
      <x:c r="D15" s="51" t="n">
        <x:f>COUNTIFS('รายชื่อทั้งหมด'!$G$5:$G$111,A15,'รายชื่อทั้งหมด'!$L$5:$L$111,"Microsoft 365 Business Standard")</x:f>
        <x:v>4</x:v>
      </x:c>
      <x:c r="E15" s="51" t="n">
        <x:f>SUM(C15:D15)</x:f>
        <x:v>22</x:v>
      </x:c>
    </x:row>
    <x:row r="16">
      <x:c r="A16" s="50" t="str">
        <x:v>2AM05</x:v>
      </x:c>
      <x:c r="B16" s="46" t="str">
        <x:v>แผนกตรวจสอบภายใน</x:v>
      </x:c>
      <x:c r="C16" s="51" t="n">
        <x:f>COUNTIFS('รายชื่อทั้งหมด'!$G$5:$G$111,A16,'รายชื่อทั้งหมด'!$L$5:$L$111,"Microsoft 365 Business Basic")</x:f>
        <x:v>0</x:v>
      </x:c>
      <x:c r="D16" s="51" t="n">
        <x:f>COUNTIFS('รายชื่อทั้งหมด'!$G$5:$G$111,A16,'รายชื่อทั้งหมด'!$L$5:$L$111,"Microsoft 365 Business Standard")</x:f>
        <x:v>2</x:v>
      </x:c>
      <x:c r="E16" s="51" t="n">
        <x:f>SUM(C16:D16)</x:f>
        <x:v>2</x:v>
      </x:c>
    </x:row>
    <x:row r="17">
      <x:c r="A17" s="50" t="str">
        <x:v>2PC02</x:v>
      </x:c>
      <x:c r="B17" s="46" t="str">
        <x:v>จัดซื้อเครื่องหนัง</x:v>
      </x:c>
      <x:c r="C17" s="51" t="n">
        <x:f>COUNTIFS('รายชื่อทั้งหมด'!$G$5:$G$111,A17,'รายชื่อทั้งหมด'!$L$5:$L$111,"Microsoft 365 Business Basic")</x:f>
        <x:v>0</x:v>
      </x:c>
      <x:c r="D17" s="51" t="n">
        <x:f>COUNTIFS('รายชื่อทั้งหมด'!$G$5:$G$111,A17,'รายชื่อทั้งหมด'!$L$5:$L$111,"Microsoft 365 Business Standard")</x:f>
        <x:v>2</x:v>
      </x:c>
      <x:c r="E17" s="51" t="n">
        <x:f>SUM(C17:D17)</x:f>
        <x:v>2</x:v>
      </x:c>
    </x:row>
    <x:row r="18">
      <x:c r="A18" s="50" t="str">
        <x:v>2RE01</x:v>
      </x:c>
      <x:c r="B18" s="46" t="str">
        <x:v>ฝ่ายพัฒนาธุรกิจ</x:v>
      </x:c>
      <x:c r="C18" s="51" t="n">
        <x:f>COUNTIFS('รายชื่อทั้งหมด'!$G$5:$G$111,A18,'รายชื่อทั้งหมด'!$L$5:$L$111,"Microsoft 365 Business Basic")</x:f>
        <x:v>0</x:v>
      </x:c>
      <x:c r="D18" s="51" t="n">
        <x:f>COUNTIFS('รายชื่อทั้งหมด'!$G$5:$G$111,A18,'รายชื่อทั้งหมด'!$L$5:$L$111,"Microsoft 365 Business Standard")</x:f>
        <x:v>1</x:v>
      </x:c>
      <x:c r="E18" s="51" t="n">
        <x:f>SUM(C18:D18)</x:f>
        <x:v>1</x:v>
      </x:c>
    </x:row>
    <x:row r="19">
      <x:c r="A19" s="50" t="str">
        <x:v>3OS03</x:v>
      </x:c>
      <x:c r="B19" s="46" t="str">
        <x:v>ฝ่ายจัดซื้อและ Sourcing.</x:v>
      </x:c>
      <x:c r="C19" s="51" t="n">
        <x:f>COUNTIFS('รายชื่อทั้งหมด'!$G$5:$G$111,A19,'รายชื่อทั้งหมด'!$L$5:$L$111,"Microsoft 365 Business Basic")</x:f>
        <x:v>0</x:v>
      </x:c>
      <x:c r="D19" s="51" t="n">
        <x:f>COUNTIFS('รายชื่อทั้งหมด'!$G$5:$G$111,A19,'รายชื่อทั้งหมด'!$L$5:$L$111,"Microsoft 365 Business Standard")</x:f>
        <x:v>1</x:v>
      </x:c>
      <x:c r="E19" s="51" t="n">
        <x:f>SUM(C19:D19)</x:f>
        <x:v>1</x:v>
      </x:c>
    </x:row>
    <x:row r="20">
      <x:c r="A20" s="50" t="str">
        <x:v>A8111</x:v>
      </x:c>
      <x:c r="B20" s="46" t="str">
        <x:v>ฝ่าย ARROW</x:v>
      </x:c>
      <x:c r="C20" s="51" t="n">
        <x:f>COUNTIFS('รายชื่อทั้งหมด'!$G$5:$G$111,A20,'รายชื่อทั้งหมด'!$L$5:$L$111,"Microsoft 365 Business Basic")</x:f>
        <x:v>30</x:v>
      </x:c>
      <x:c r="D20" s="51" t="n">
        <x:f>COUNTIFS('รายชื่อทั้งหมด'!$G$5:$G$111,A20,'รายชื่อทั้งหมด'!$L$5:$L$111,"Microsoft 365 Business Standard")</x:f>
        <x:v>0</x:v>
      </x:c>
      <x:c r="E20" s="51" t="n">
        <x:f>SUM(C20:D20)</x:f>
        <x:v>30</x:v>
      </x:c>
    </x:row>
    <x:row r="21">
      <x:c r="A21" s="50" t="str">
        <x:v>C8111</x:v>
      </x:c>
      <x:c r="B21" s="46" t="str">
        <x:v>ABSORBA</x:v>
      </x:c>
      <x:c r="C21" s="51" t="n">
        <x:f>COUNTIFS('รายชื่อทั้งหมด'!$G$5:$G$111,A21,'รายชื่อทั้งหมด'!$L$5:$L$111,"Microsoft 365 Business Basic")</x:f>
        <x:v>1</x:v>
      </x:c>
      <x:c r="D21" s="51" t="n">
        <x:f>COUNTIFS('รายชื่อทั้งหมด'!$G$5:$G$111,A21,'รายชื่อทั้งหมด'!$L$5:$L$111,"Microsoft 365 Business Standard")</x:f>
        <x:v>0</x:v>
      </x:c>
      <x:c r="E21" s="51" t="n">
        <x:f>SUM(C21:D21)</x:f>
        <x:v>1</x:v>
      </x:c>
    </x:row>
    <x:row r="22">
      <x:c r="A22" s="50" t="str">
        <x:v>E8111</x:v>
      </x:c>
      <x:c r="B22" s="46" t="str">
        <x:v>แผนก Export Men's Wear</x:v>
      </x:c>
      <x:c r="C22" s="51" t="n">
        <x:f>COUNTIFS('รายชื่อทั้งหมด'!$G$5:$G$111,A22,'รายชื่อทั้งหมด'!$L$5:$L$111,"Microsoft 365 Business Basic")</x:f>
        <x:v>0</x:v>
      </x:c>
      <x:c r="D22" s="51" t="n">
        <x:f>COUNTIFS('รายชื่อทั้งหมด'!$G$5:$G$111,A22,'รายชื่อทั้งหมด'!$L$5:$L$111,"Microsoft 365 Business Standard")</x:f>
        <x:v>1</x:v>
      </x:c>
      <x:c r="E22" s="51" t="n">
        <x:f>SUM(C22:D22)</x:f>
        <x:v>1</x:v>
      </x:c>
    </x:row>
    <x:row r="23">
      <x:c r="A23" s="50" t="str">
        <x:v>G8111</x:v>
      </x:c>
      <x:c r="B23" s="46" t="str">
        <x:v>ฝ่าย Guy Laroche</x:v>
      </x:c>
      <x:c r="C23" s="51" t="n">
        <x:f>COUNTIFS('รายชื่อทั้งหมด'!$G$5:$G$111,A23,'รายชื่อทั้งหมด'!$L$5:$L$111,"Microsoft 365 Business Basic")</x:f>
        <x:v>10</x:v>
      </x:c>
      <x:c r="D23" s="51" t="n">
        <x:f>COUNTIFS('รายชื่อทั้งหมด'!$G$5:$G$111,A23,'รายชื่อทั้งหมด'!$L$5:$L$111,"Microsoft 365 Business Standard")</x:f>
        <x:v>0</x:v>
      </x:c>
      <x:c r="E23" s="51" t="n">
        <x:f>SUM(C23:D23)</x:f>
        <x:v>10</x:v>
      </x:c>
    </x:row>
    <x:row r="24">
      <x:c r="A24" s="50" t="str">
        <x:v>H8111</x:v>
      </x:c>
      <x:c r="B24" s="46" t="str">
        <x:v>House Brand</x:v>
      </x:c>
      <x:c r="C24" s="51" t="n">
        <x:f>COUNTIFS('รายชื่อทั้งหมด'!$G$5:$G$111,A24,'รายชื่อทั้งหมด'!$L$5:$L$111,"Microsoft 365 Business Basic")</x:f>
        <x:v>2</x:v>
      </x:c>
      <x:c r="D24" s="51" t="n">
        <x:f>COUNTIFS('รายชื่อทั้งหมด'!$G$5:$G$111,A24,'รายชื่อทั้งหมด'!$L$5:$L$111,"Microsoft 365 Business Standard")</x:f>
        <x:v>0</x:v>
      </x:c>
      <x:c r="E24" s="51" t="n">
        <x:f>SUM(C24:D24)</x:f>
        <x:v>2</x:v>
      </x:c>
    </x:row>
    <x:row r="25">
      <x:c r="A25" s="50" t="str">
        <x:v>I8111</x:v>
      </x:c>
      <x:c r="B25" s="46" t="str">
        <x:v>INNER GUY LAROCHE</x:v>
      </x:c>
      <x:c r="C25" s="51" t="n">
        <x:f>COUNTIFS('รายชื่อทั้งหมด'!$G$5:$G$111,A25,'รายชื่อทั้งหมด'!$L$5:$L$111,"Microsoft 365 Business Basic")</x:f>
        <x:v>3</x:v>
      </x:c>
      <x:c r="D25" s="51" t="n">
        <x:f>COUNTIFS('รายชื่อทั้งหมด'!$G$5:$G$111,A25,'รายชื่อทั้งหมด'!$L$5:$L$111,"Microsoft 365 Business Standard")</x:f>
        <x:v>0</x:v>
      </x:c>
      <x:c r="E25" s="51" t="n">
        <x:f>SUM(C25:D25)</x:f>
        <x:v>3</x:v>
      </x:c>
    </x:row>
    <x:row r="26">
      <x:c r="A26" s="50" t="str">
        <x:v>L8111</x:v>
      </x:c>
      <x:c r="B26" s="46" t="str">
        <x:v>เครื่องหนัง GUY LAROCHE</x:v>
      </x:c>
      <x:c r="C26" s="51" t="n">
        <x:f>COUNTIFS('รายชื่อทั้งหมด'!$G$5:$G$111,A26,'รายชื่อทั้งหมด'!$L$5:$L$111,"Microsoft 365 Business Basic")</x:f>
        <x:v>7</x:v>
      </x:c>
      <x:c r="D26" s="51" t="n">
        <x:f>COUNTIFS('รายชื่อทั้งหมด'!$G$5:$G$111,A26,'รายชื่อทั้งหมด'!$L$5:$L$111,"Microsoft 365 Business Standard")</x:f>
        <x:v>1</x:v>
      </x:c>
      <x:c r="E26" s="51" t="n">
        <x:f>SUM(C26:D26)</x:f>
        <x:v>8</x:v>
      </x:c>
    </x:row>
    <x:row r="27">
      <x:c r="A27" s="50" t="str">
        <x:v>P8111</x:v>
      </x:c>
      <x:c r="B27" s="46" t="str">
        <x:v>แผนกธุรกิจ DAKS</x:v>
      </x:c>
      <x:c r="C27" s="51" t="n">
        <x:f>COUNTIFS('รายชื่อทั้งหมด'!$G$5:$G$111,A27,'รายชื่อทั้งหมด'!$L$5:$L$111,"Microsoft 365 Business Basic")</x:f>
        <x:v>0</x:v>
      </x:c>
      <x:c r="D27" s="51" t="n">
        <x:f>COUNTIFS('รายชื่อทั้งหมด'!$G$5:$G$111,A27,'รายชื่อทั้งหมด'!$L$5:$L$111,"Microsoft 365 Business Standard")</x:f>
        <x:v>3</x:v>
      </x:c>
      <x:c r="E27" s="51" t="n">
        <x:f>SUM(C27:D27)</x:f>
        <x:v>3</x:v>
      </x:c>
    </x:row>
    <x:row r="28">
      <x:c r="A28" s="50" t="str">
        <x:v>R8111</x:v>
      </x:c>
      <x:c r="B28" s="46" t="str">
        <x:v>ฝ่ายธุรกิจเครื่องหนัง EXPORT</x:v>
      </x:c>
      <x:c r="C28" s="51" t="n">
        <x:f>COUNTIFS('รายชื่อทั้งหมด'!$G$5:$G$111,A28,'รายชื่อทั้งหมด'!$L$5:$L$111,"Microsoft 365 Business Basic")</x:f>
        <x:v>0</x:v>
      </x:c>
      <x:c r="D28" s="51" t="n">
        <x:f>COUNTIFS('รายชื่อทั้งหมด'!$G$5:$G$111,A28,'รายชื่อทั้งหมด'!$L$5:$L$111,"Microsoft 365 Business Standard")</x:f>
        <x:v>9</x:v>
      </x:c>
      <x:c r="E28" s="51" t="n">
        <x:f>SUM(C28:D28)</x:f>
        <x:v>9</x:v>
      </x:c>
    </x:row>
    <x:row r="29">
      <x:c r="A29" s="50" t="str">
        <x:v>Y8111</x:v>
      </x:c>
      <x:c r="B29" s="46" t="str">
        <x:v>แผนก OLYMP</x:v>
      </x:c>
      <x:c r="C29" s="51" t="n">
        <x:f>COUNTIFS('รายชื่อทั้งหมด'!$G$5:$G$111,A29,'รายชื่อทั้งหมด'!$L$5:$L$111,"Microsoft 365 Business Basic")</x:f>
        <x:v>0</x:v>
      </x:c>
      <x:c r="D29" s="51" t="n">
        <x:f>COUNTIFS('รายชื่อทั้งหมด'!$G$5:$G$111,A29,'รายชื่อทั้งหมด'!$L$5:$L$111,"Microsoft 365 Business Standard")</x:f>
        <x:v>2</x:v>
      </x:c>
      <x:c r="E29" s="51" t="n">
        <x:f>SUM(C29:D29)</x:f>
        <x:v>2</x:v>
      </x:c>
    </x:row>
    <x:row r="30">
      <x:c r="A30" s="48" t="str">
        <x:v>รวมทั้งหมด</x:v>
      </x:c>
      <x:c r="B30" s="48"/>
      <x:c r="C30" s="52" t="n">
        <x:f>SUM(C11:C29)</x:f>
        <x:v>72</x:v>
      </x:c>
      <x:c r="D30" s="52" t="n">
        <x:f>SUM(D11:D29)</x:f>
        <x:v>35</x:v>
      </x:c>
      <x:c r="E30" s="52" t="n">
        <x:f>SUM(E11:E29)</x:f>
        <x:v>107</x:v>
      </x:c>
    </x:row>
  </x:sheetData>
  <x:mergeCells>
    <x:mergeCell ref="A1:E1"/>
    <x:mergeCell ref="A2:E2"/>
    <x:mergeCell ref="A30:B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4" hidden="0" customWidth="1"/>
    <x:col min="4" max="4" width="24" hidden="0" customWidth="1"/>
    <x:col min="5" max="5" width="13" hidden="0" customWidth="1"/>
    <x:col min="6" max="6" width="30" hidden="0" customWidth="1"/>
    <x:col min="7" max="7" width="13" hidden="0" customWidth="1"/>
    <x:col min="8" max="8" width="28" hidden="0" customWidth="1"/>
    <x:col min="9" max="9" width="14" hidden="0" customWidth="1"/>
    <x:col min="10" max="10" width="27" hidden="0" customWidth="1"/>
    <x:col min="11" max="11" width="14" hidden="0" customWidth="1"/>
    <x:col min="12" max="12" width="34" hidden="0" customWidth="1"/>
  </x:cols>
  <x:sheetData>
    <x:row r="1" ht="30" customHeight="1">
      <x:c r="A1" s="3" t="str">
        <x:v>รายชื่อผู้ได้รับ Microsoft 365 License ทั้งหมด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2" customHeight="1">
      <x:c r="A2" s="6" t="str">
        <x:v>ข้อมูลจากระบบ O365 License (read-only) ณ วันที่ 5 สิงหาคม 2026 | จำนวน 107 รายการ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2" customHeight="1">
      <x:c r="A4" s="11" t="str">
        <x:v>ลำดับ</x:v>
      </x:c>
      <x:c r="B4" s="11" t="str">
        <x:v>รหัสพนักงาน</x:v>
      </x:c>
      <x:c r="C4" s="11" t="str">
        <x:v>ชื่อ-นามสกุล</x:v>
      </x:c>
      <x:c r="D4" s="11" t="str">
        <x:v>ชื่อภาษาอังกฤษ</x:v>
      </x:c>
      <x:c r="E4" s="11" t="str">
        <x:v>ชื่อเล่น</x:v>
      </x:c>
      <x:c r="F4" s="11" t="str">
        <x:v>อีเมล</x:v>
      </x:c>
      <x:c r="G4" s="11" t="str">
        <x:v>รหัสแผนก</x:v>
      </x:c>
      <x:c r="H4" s="11" t="str">
        <x:v>แผนก</x:v>
      </x:c>
      <x:c r="I4" s="11" t="str">
        <x:v>Cost Center</x:v>
      </x:c>
      <x:c r="J4" s="11" t="str">
        <x:v>ชื่อ Cost Center</x:v>
      </x:c>
      <x:c r="K4" s="11" t="str">
        <x:v>รหัส License</x:v>
      </x:c>
      <x:c r="L4" s="11" t="str">
        <x:v>ประเภท License</x:v>
      </x:c>
    </x:row>
    <x:row r="5" ht="21" customHeight="1">
      <x:c r="A5" s="13" t="n">
        <x:v>1</x:v>
      </x:c>
      <x:c r="B5" s="13" t="str">
        <x:v>55056</x:v>
      </x:c>
      <x:c r="C5" s="14" t="str">
        <x:v>โยธิน สุวรรณเกษร์</x:v>
      </x:c>
      <x:c r="D5" s="14" t="str">
        <x:v>yothin suwanket</x:v>
      </x:c>
      <x:c r="E5" s="14" t="str">
        <x:v>โจ้</x:v>
      </x:c>
      <x:c r="F5" s="14" t="str">
        <x:v>yothin_su@thanulux.com</x:v>
      </x:c>
      <x:c r="G5" s="13" t="str">
        <x:v>2AM04</x:v>
      </x:c>
      <x:c r="H5" s="14" t="str">
        <x:v>ฝ่าย IT</x:v>
      </x:c>
      <x:c r="I5" s="13" t="str">
        <x:v>2AM04</x:v>
      </x:c>
      <x:c r="J5" s="14" t="str">
        <x:v>ฝ่าย IT</x:v>
      </x:c>
      <x:c r="K5" s="13" t="str">
        <x:v>OF001</x:v>
      </x:c>
      <x:c r="L5" s="14" t="str">
        <x:v>Microsoft 365 Business Standard</x:v>
      </x:c>
    </x:row>
    <x:row r="6" ht="21" customHeight="1">
      <x:c r="A6" s="13" t="n">
        <x:v>2</x:v>
      </x:c>
      <x:c r="B6" s="13" t="str">
        <x:v>arrow</x:v>
      </x:c>
      <x:c r="C6" s="14" t="str">
        <x:v>arrow</x:v>
      </x:c>
      <x:c r="D6" s="14" t="str">
        <x:v>arrow</x:v>
      </x:c>
      <x:c r="E6" s="14" t="str">
        <x:v>ส่วนกลาง</x:v>
      </x:c>
      <x:c r="F6" s="14" t="str">
        <x:v>arrow@thanulux.com</x:v>
      </x:c>
      <x:c r="G6" s="13" t="str">
        <x:v>A8111</x:v>
      </x:c>
      <x:c r="H6" s="14" t="str">
        <x:v>ฝ่าย ARROW</x:v>
      </x:c>
      <x:c r="I6" s="13" t="str">
        <x:v>A8111</x:v>
      </x:c>
      <x:c r="J6" s="14" t="str">
        <x:v>ฝ่าย ARROW</x:v>
      </x:c>
      <x:c r="K6" s="13" t="str">
        <x:v>OF002</x:v>
      </x:c>
      <x:c r="L6" s="14" t="str">
        <x:v>Microsoft 365 Business Basic</x:v>
      </x:c>
    </x:row>
    <x:row r="7" ht="21" customHeight="1">
      <x:c r="A7" s="13" t="n">
        <x:v>3</x:v>
      </x:c>
      <x:c r="B7" s="13" t="str">
        <x:v>Lek</x:v>
      </x:c>
      <x:c r="C7" s="14" t="str">
        <x:v>sompatsorn_taw</x:v>
      </x:c>
      <x:c r="D7" s="14" t="str">
        <x:v>sompatsorn_taw</x:v>
      </x:c>
      <x:c r="E7" s="14" t="str">
        <x:v>เล็ก/ลาออก</x:v>
      </x:c>
      <x:c r="F7" s="14" t="str">
        <x:v>sompatsorn_taw@thanulux.com</x:v>
      </x:c>
      <x:c r="G7" s="13" t="str">
        <x:v>G8111</x:v>
      </x:c>
      <x:c r="H7" s="14" t="str">
        <x:v>ฝ่าย Guy Laroche</x:v>
      </x:c>
      <x:c r="I7" s="13" t="str">
        <x:v>G8111</x:v>
      </x:c>
      <x:c r="J7" s="14" t="str">
        <x:v>ฝ่าย Guy Laroche</x:v>
      </x:c>
      <x:c r="K7" s="13" t="str">
        <x:v>OF002</x:v>
      </x:c>
      <x:c r="L7" s="14" t="str">
        <x:v>Microsoft 365 Business Basic</x:v>
      </x:c>
    </x:row>
    <x:row r="8" ht="21" customHeight="1">
      <x:c r="A8" s="13" t="n">
        <x:v>4</x:v>
      </x:c>
      <x:c r="B8" s="13" t="str">
        <x:v>Suchin</x:v>
      </x:c>
      <x:c r="C8" s="14" t="str">
        <x:v>suchin de</x:v>
      </x:c>
      <x:c r="D8" s="14" t="str">
        <x:v>suchin de</x:v>
      </x:c>
      <x:c r="E8" s="14" t="str">
        <x:v>สุชิน</x:v>
      </x:c>
      <x:c r="F8" s="14" t="str">
        <x:v>suchin_de@thanulux.com</x:v>
      </x:c>
      <x:c r="G8" s="13" t="str">
        <x:v>A8111</x:v>
      </x:c>
      <x:c r="H8" s="14" t="str">
        <x:v>ฝ่าย ARROW</x:v>
      </x:c>
      <x:c r="I8" s="13" t="str">
        <x:v>A8111</x:v>
      </x:c>
      <x:c r="J8" s="14" t="str">
        <x:v>ฝ่าย ARROW</x:v>
      </x:c>
      <x:c r="K8" s="13" t="str">
        <x:v>OF002</x:v>
      </x:c>
      <x:c r="L8" s="14" t="str">
        <x:v>Microsoft 365 Business Basic</x:v>
      </x:c>
    </x:row>
    <x:row r="9" ht="21" customHeight="1">
      <x:c r="A9" s="13" t="n">
        <x:v>5</x:v>
      </x:c>
      <x:c r="B9" s="13" t="str">
        <x:v>T9030</x:v>
      </x:c>
      <x:c r="C9" s="14" t="str">
        <x:v>พรอนงค์ มีภูมิรู้</x:v>
      </x:c>
      <x:c r="D9" s="14" t="str">
        <x:v>Pornanong Meephumroo</x:v>
      </x:c>
      <x:c r="E9" s="14" t="str">
        <x:v>กุ้ง</x:v>
      </x:c>
      <x:c r="F9" s="14" t="str">
        <x:v>pornanong_me@thanulux.com</x:v>
      </x:c>
      <x:c r="G9" s="13" t="str">
        <x:v>2AM03</x:v>
      </x:c>
      <x:c r="H9" s="14" t="str">
        <x:v>ฝ่าย HR</x:v>
      </x:c>
      <x:c r="I9" s="13" t="str">
        <x:v>2AM03</x:v>
      </x:c>
      <x:c r="J9" s="14" t="str">
        <x:v>ฝ่าย HR</x:v>
      </x:c>
      <x:c r="K9" s="13" t="str">
        <x:v>OF002</x:v>
      </x:c>
      <x:c r="L9" s="14" t="str">
        <x:v>Microsoft 365 Business Basic</x:v>
      </x:c>
    </x:row>
    <x:row r="10" ht="21" customHeight="1">
      <x:c r="A10" s="13" t="n">
        <x:v>6</x:v>
      </x:c>
      <x:c r="B10" s="13" t="str">
        <x:v>T9058</x:v>
      </x:c>
      <x:c r="C10" s="14" t="str">
        <x:v>ภากร บูรณเสน</x:v>
      </x:c>
      <x:c r="D10" s="14" t="str">
        <x:v>Phakorn Buranasen</x:v>
      </x:c>
      <x:c r="E10" s="14" t="str">
        <x:v>โบ้</x:v>
      </x:c>
      <x:c r="F10" s="14" t="str">
        <x:v>Phakorn_bu@thanulux.com</x:v>
      </x:c>
      <x:c r="G10" s="13" t="str">
        <x:v>2AM04</x:v>
      </x:c>
      <x:c r="H10" s="14" t="str">
        <x:v>ฝ่าย IT</x:v>
      </x:c>
      <x:c r="I10" s="13" t="str">
        <x:v>2AM04</x:v>
      </x:c>
      <x:c r="J10" s="14" t="str">
        <x:v>ฝ่าย IT</x:v>
      </x:c>
      <x:c r="K10" s="13" t="str">
        <x:v>OF002</x:v>
      </x:c>
      <x:c r="L10" s="14" t="str">
        <x:v>Microsoft 365 Business Basic</x:v>
      </x:c>
    </x:row>
    <x:row r="11" ht="21" customHeight="1">
      <x:c r="A11" s="13" t="n">
        <x:v>7</x:v>
      </x:c>
      <x:c r="B11" s="13" t="str">
        <x:v>T9062</x:v>
      </x:c>
      <x:c r="C11" s="14" t="str">
        <x:v>วิษณุ กีพิมาย</x:v>
      </x:c>
      <x:c r="D11" s="14" t="str">
        <x:v>Witsanu Keephimai</x:v>
      </x:c>
      <x:c r="E11" s="14" t="str">
        <x:v>นุ</x:v>
      </x:c>
      <x:c r="F11" s="14" t="str">
        <x:v>Witsanu_ke@thanulux.com</x:v>
      </x:c>
      <x:c r="G11" s="13" t="str">
        <x:v>2AM05</x:v>
      </x:c>
      <x:c r="H11" s="14" t="str">
        <x:v>แผนกตรวจสอบภายใน</x:v>
      </x:c>
      <x:c r="I11" s="13" t="str">
        <x:v>2AM05</x:v>
      </x:c>
      <x:c r="J11" s="14" t="str"/>
      <x:c r="K11" s="13" t="str">
        <x:v>OF001</x:v>
      </x:c>
      <x:c r="L11" s="14" t="str">
        <x:v>Microsoft 365 Business Standard</x:v>
      </x:c>
    </x:row>
    <x:row r="12" ht="21" customHeight="1">
      <x:c r="A12" s="13" t="n">
        <x:v>8</x:v>
      </x:c>
      <x:c r="B12" s="13" t="str">
        <x:v>T9070</x:v>
      </x:c>
      <x:c r="C12" s="14" t="str">
        <x:v>เสาวณี ติยะพานิชกุล</x:v>
      </x:c>
      <x:c r="D12" s="14" t="str">
        <x:v>Saowanee Tiyapanichkul</x:v>
      </x:c>
      <x:c r="E12" s="14" t="str">
        <x:v>พี่เจี๊ยบ</x:v>
      </x:c>
      <x:c r="F12" s="14" t="str">
        <x:v>Saowanee_ti@thanulux.com</x:v>
      </x:c>
      <x:c r="G12" s="13" t="str">
        <x:v>R8111</x:v>
      </x:c>
      <x:c r="H12" s="14" t="str">
        <x:v>ฝ่ายธุรกิจเครื่องหนัง EXPORT</x:v>
      </x:c>
      <x:c r="I12" s="13" t="str">
        <x:v>R8111</x:v>
      </x:c>
      <x:c r="J12" s="14" t="str">
        <x:v>ฝ่ายธุรกิจเครื่องหนัง EXPORT</x:v>
      </x:c>
      <x:c r="K12" s="13" t="str">
        <x:v>OF001</x:v>
      </x:c>
      <x:c r="L12" s="14" t="str">
        <x:v>Microsoft 365 Business Standard</x:v>
      </x:c>
    </x:row>
    <x:row r="13" ht="21" customHeight="1">
      <x:c r="A13" s="13" t="n">
        <x:v>9</x:v>
      </x:c>
      <x:c r="B13" s="13" t="str">
        <x:v>T9095</x:v>
      </x:c>
      <x:c r="C13" s="14" t="str">
        <x:v>จีรฉัตร ปากชำนิ</x:v>
      </x:c>
      <x:c r="D13" s="14" t="str">
        <x:v>Jeerachart Pakchamni</x:v>
      </x:c>
      <x:c r="E13" s="14" t="str">
        <x:v>ก๊อฟ</x:v>
      </x:c>
      <x:c r="F13" s="14" t="str">
        <x:v>jeerachart_pc@thanulux.com</x:v>
      </x:c>
      <x:c r="G13" s="13" t="str">
        <x:v>I8111</x:v>
      </x:c>
      <x:c r="H13" s="14" t="str">
        <x:v>INNER GUY LAROCHE</x:v>
      </x:c>
      <x:c r="I13" s="13" t="str">
        <x:v>I8111</x:v>
      </x:c>
      <x:c r="J13" s="14" t="str">
        <x:v>ฝ่าย Apparel 2</x:v>
      </x:c>
      <x:c r="K13" s="13" t="str">
        <x:v>OF002</x:v>
      </x:c>
      <x:c r="L13" s="14" t="str">
        <x:v>Microsoft 365 Business Basic</x:v>
      </x:c>
    </x:row>
    <x:row r="14" ht="21" customHeight="1">
      <x:c r="A14" s="13" t="n">
        <x:v>10</x:v>
      </x:c>
      <x:c r="B14" s="13" t="str">
        <x:v>T9108</x:v>
      </x:c>
      <x:c r="C14" s="14" t="str">
        <x:v>ชลิดา สุประหยัด</x:v>
      </x:c>
      <x:c r="D14" s="14" t="str">
        <x:v>Chalida Suprayad</x:v>
      </x:c>
      <x:c r="E14" s="14" t="str">
        <x:v>ยุ้ย</x:v>
      </x:c>
      <x:c r="F14" s="14" t="str">
        <x:v>corp_chalida@thanulux.com</x:v>
      </x:c>
      <x:c r="G14" s="13" t="str">
        <x:v>A8111</x:v>
      </x:c>
      <x:c r="H14" s="14" t="str">
        <x:v>ฝ่าย ARROW</x:v>
      </x:c>
      <x:c r="I14" s="13" t="str">
        <x:v>A8111</x:v>
      </x:c>
      <x:c r="J14" s="14" t="str">
        <x:v>ฝ่าย ARROW</x:v>
      </x:c>
      <x:c r="K14" s="13" t="str">
        <x:v>OF002</x:v>
      </x:c>
      <x:c r="L14" s="14" t="str">
        <x:v>Microsoft 365 Business Basic</x:v>
      </x:c>
    </x:row>
    <x:row r="15" ht="21" customHeight="1">
      <x:c r="A15" s="13" t="n">
        <x:v>11</x:v>
      </x:c>
      <x:c r="B15" s="13" t="str">
        <x:v>T9118</x:v>
      </x:c>
      <x:c r="C15" s="14" t="str">
        <x:v>เวทะนี ธนาศรัณยากร</x:v>
      </x:c>
      <x:c r="D15" s="14" t="str">
        <x:v>Waethanee Tanasarunyakorn</x:v>
      </x:c>
      <x:c r="E15" s="14" t="str">
        <x:v>เวย์</x:v>
      </x:c>
      <x:c r="F15" s="14" t="str">
        <x:v>Waethanee@thanulux.com</x:v>
      </x:c>
      <x:c r="G15" s="13" t="str">
        <x:v>A8111</x:v>
      </x:c>
      <x:c r="H15" s="14" t="str">
        <x:v>ฝ่าย ARROW</x:v>
      </x:c>
      <x:c r="I15" s="13" t="str">
        <x:v>A8111</x:v>
      </x:c>
      <x:c r="J15" s="14" t="str">
        <x:v>ฝ่าย ARROW</x:v>
      </x:c>
      <x:c r="K15" s="13" t="str">
        <x:v>OF002</x:v>
      </x:c>
      <x:c r="L15" s="14" t="str">
        <x:v>Microsoft 365 Business Basic</x:v>
      </x:c>
    </x:row>
    <x:row r="16" ht="21" customHeight="1">
      <x:c r="A16" s="13" t="n">
        <x:v>12</x:v>
      </x:c>
      <x:c r="B16" s="13" t="str">
        <x:v>T9133</x:v>
      </x:c>
      <x:c r="C16" s="14" t="str">
        <x:v>วาสนา สรรวัจนา</x:v>
      </x:c>
      <x:c r="D16" s="14" t="str">
        <x:v>Wassana Sanvatjana</x:v>
      </x:c>
      <x:c r="E16" s="14" t="str">
        <x:v>จิ๊บ</x:v>
      </x:c>
      <x:c r="F16" s="14" t="str">
        <x:v>wassana_sa@thanulux.com</x:v>
      </x:c>
      <x:c r="G16" s="13" t="str">
        <x:v>A8111</x:v>
      </x:c>
      <x:c r="H16" s="14" t="str">
        <x:v>ฝ่าย ARROW</x:v>
      </x:c>
      <x:c r="I16" s="13" t="str">
        <x:v>A8111</x:v>
      </x:c>
      <x:c r="J16" s="14" t="str">
        <x:v>ฝ่าย ARROW</x:v>
      </x:c>
      <x:c r="K16" s="13" t="str">
        <x:v>OF002</x:v>
      </x:c>
      <x:c r="L16" s="14" t="str">
        <x:v>Microsoft 365 Business Basic</x:v>
      </x:c>
    </x:row>
    <x:row r="17" ht="21" customHeight="1">
      <x:c r="A17" s="13" t="n">
        <x:v>13</x:v>
      </x:c>
      <x:c r="B17" s="13" t="str">
        <x:v>T9172</x:v>
      </x:c>
      <x:c r="C17" s="14" t="str">
        <x:v>พีรดา ศิริภักดีนันต์</x:v>
      </x:c>
      <x:c r="D17" s="14" t="str">
        <x:v>Peerada Siripakdeenan</x:v>
      </x:c>
      <x:c r="E17" s="14" t="str">
        <x:v>หลิน</x:v>
      </x:c>
      <x:c r="F17" s="14" t="str">
        <x:v>peerada_po@thanulux.com</x:v>
      </x:c>
      <x:c r="G17" s="13" t="str">
        <x:v>L8111</x:v>
      </x:c>
      <x:c r="H17" s="14" t="str">
        <x:v>เครื่องหนัง GUY LAROCHE</x:v>
      </x:c>
      <x:c r="I17" s="13" t="str">
        <x:v>L8111</x:v>
      </x:c>
      <x:c r="J17" s="14" t="str">
        <x:v>ฝ่ายธุรกิจเครื่องหนังในประเทศ</x:v>
      </x:c>
      <x:c r="K17" s="13" t="str">
        <x:v>OF001</x:v>
      </x:c>
      <x:c r="L17" s="14" t="str">
        <x:v>Microsoft 365 Business Standard</x:v>
      </x:c>
    </x:row>
    <x:row r="18" ht="21" customHeight="1">
      <x:c r="A18" s="13" t="n">
        <x:v>14</x:v>
      </x:c>
      <x:c r="B18" s="13" t="str">
        <x:v>T9173</x:v>
      </x:c>
      <x:c r="C18" s="14" t="str">
        <x:v>กรรณิกา แก้วตา</x:v>
      </x:c>
      <x:c r="D18" s="14" t="str">
        <x:v>Kannika Kaewta</x:v>
      </x:c>
      <x:c r="E18" s="14" t="str">
        <x:v>กรรณ</x:v>
      </x:c>
      <x:c r="F18" s="14" t="str">
        <x:v>Kannika_ka@thanulux.com</x:v>
      </x:c>
      <x:c r="G18" s="13" t="str">
        <x:v>R8111</x:v>
      </x:c>
      <x:c r="H18" s="14" t="str">
        <x:v>ฝ่ายธุรกิจเครื่องหนัง EXPORT</x:v>
      </x:c>
      <x:c r="I18" s="13" t="str">
        <x:v>R8111</x:v>
      </x:c>
      <x:c r="J18" s="14" t="str">
        <x:v>ฝ่ายธุรกิจเครื่องหนัง EXPORT</x:v>
      </x:c>
      <x:c r="K18" s="13" t="str">
        <x:v>OF001</x:v>
      </x:c>
      <x:c r="L18" s="14" t="str">
        <x:v>Microsoft 365 Business Standard</x:v>
      </x:c>
    </x:row>
    <x:row r="19" ht="21" customHeight="1">
      <x:c r="A19" s="13" t="n">
        <x:v>15</x:v>
      </x:c>
      <x:c r="B19" s="13" t="str">
        <x:v>T9207</x:v>
      </x:c>
      <x:c r="C19" s="14" t="str">
        <x:v>กัญญาณัฏฐ์ สุภะ</x:v>
      </x:c>
      <x:c r="D19" s="14" t="str">
        <x:v>Kanyanatth Supa (Ben)</x:v>
      </x:c>
      <x:c r="E19" s="14" t="str">
        <x:v>เบน/ลาออก</x:v>
      </x:c>
      <x:c r="F19" s="14" t="str">
        <x:v>ben_pr@thanulux.com</x:v>
      </x:c>
      <x:c r="G19" s="13" t="str">
        <x:v>A8111</x:v>
      </x:c>
      <x:c r="H19" s="14" t="str">
        <x:v>ฝ่าย ARROW</x:v>
      </x:c>
      <x:c r="I19" s="13" t="str">
        <x:v>A8111</x:v>
      </x:c>
      <x:c r="J19" s="14" t="str">
        <x:v>ฝ่าย ARROW</x:v>
      </x:c>
      <x:c r="K19" s="13" t="str">
        <x:v>OF002</x:v>
      </x:c>
      <x:c r="L19" s="14" t="str">
        <x:v>Microsoft 365 Business Basic</x:v>
      </x:c>
    </x:row>
    <x:row r="20" ht="21" customHeight="1">
      <x:c r="A20" s="13" t="n">
        <x:v>16</x:v>
      </x:c>
      <x:c r="B20" s="13" t="str">
        <x:v>T9220</x:v>
      </x:c>
      <x:c r="C20" s="14" t="str">
        <x:v>กิติภณ วิสุทธิ์เทพ</x:v>
      </x:c>
      <x:c r="D20" s="14" t="str">
        <x:v>Kitiphon wisutthep</x:v>
      </x:c>
      <x:c r="E20" s="14" t="str">
        <x:v>เค</x:v>
      </x:c>
      <x:c r="F20" s="14" t="str">
        <x:v>Sompob@thanulux.com</x:v>
      </x:c>
      <x:c r="G20" s="13" t="str">
        <x:v>2AM04</x:v>
      </x:c>
      <x:c r="H20" s="14" t="str">
        <x:v>ฝ่าย IT</x:v>
      </x:c>
      <x:c r="I20" s="13" t="str">
        <x:v>2AM04</x:v>
      </x:c>
      <x:c r="J20" s="14" t="str">
        <x:v>ฝ่าย IT</x:v>
      </x:c>
      <x:c r="K20" s="13" t="str">
        <x:v>OF002</x:v>
      </x:c>
      <x:c r="L20" s="14" t="str">
        <x:v>Microsoft 365 Business Basic</x:v>
      </x:c>
    </x:row>
    <x:row r="21" ht="21" customHeight="1">
      <x:c r="A21" s="13" t="n">
        <x:v>17</x:v>
      </x:c>
      <x:c r="B21" s="13" t="str">
        <x:v>T9232</x:v>
      </x:c>
      <x:c r="C21" s="14" t="str">
        <x:v>ประภาภรณ์ กำจรจรุงวิทย์</x:v>
      </x:c>
      <x:c r="D21" s="14" t="str">
        <x:v>Prapaporn Kumjornjarungwit</x:v>
      </x:c>
      <x:c r="E21" s="14" t="str">
        <x:v>ภรณ์</x:v>
      </x:c>
      <x:c r="F21" s="14" t="str">
        <x:v>Prapaporn_ka@thanulux.com</x:v>
      </x:c>
      <x:c r="G21" s="13" t="str">
        <x:v>2AM04</x:v>
      </x:c>
      <x:c r="H21" s="14" t="str">
        <x:v>ฝ่าย IT</x:v>
      </x:c>
      <x:c r="I21" s="13" t="str">
        <x:v>2AM04</x:v>
      </x:c>
      <x:c r="J21" s="14" t="str">
        <x:v>ฝ่าย IT</x:v>
      </x:c>
      <x:c r="K21" s="13" t="str">
        <x:v>OF002</x:v>
      </x:c>
      <x:c r="L21" s="14" t="str">
        <x:v>Microsoft 365 Business Basic</x:v>
      </x:c>
    </x:row>
    <x:row r="22" ht="21" customHeight="1">
      <x:c r="A22" s="13" t="n">
        <x:v>18</x:v>
      </x:c>
      <x:c r="B22" s="13" t="str">
        <x:v>T9252</x:v>
      </x:c>
      <x:c r="C22" s="14" t="str">
        <x:v>ศิราภิรมย์ ธีรประเสริฐ</x:v>
      </x:c>
      <x:c r="D22" s="14" t="str">
        <x:v>Sirapirom Teeraprasert</x:v>
      </x:c>
      <x:c r="E22" s="14" t="str">
        <x:v>พี่เตี๊ยบ</x:v>
      </x:c>
      <x:c r="F22" s="14" t="str">
        <x:v>Sirapirom@thanulux.com</x:v>
      </x:c>
      <x:c r="G22" s="13" t="str">
        <x:v>2AM04</x:v>
      </x:c>
      <x:c r="H22" s="14" t="str">
        <x:v>ฝ่าย IT</x:v>
      </x:c>
      <x:c r="I22" s="13" t="str">
        <x:v>2AM04</x:v>
      </x:c>
      <x:c r="J22" s="14" t="str">
        <x:v>ฝ่าย IT</x:v>
      </x:c>
      <x:c r="K22" s="13" t="str">
        <x:v>OF001</x:v>
      </x:c>
      <x:c r="L22" s="14" t="str">
        <x:v>Microsoft 365 Business Standard</x:v>
      </x:c>
    </x:row>
    <x:row r="23" ht="21" customHeight="1">
      <x:c r="A23" s="13" t="n">
        <x:v>19</x:v>
      </x:c>
      <x:c r="B23" s="13" t="str">
        <x:v>T9256</x:v>
      </x:c>
      <x:c r="C23" s="14" t="str">
        <x:v>ธวัชชัย ปิ่นแก้ว</x:v>
      </x:c>
      <x:c r="D23" s="14" t="str">
        <x:v>Tawatchai pinkaew</x:v>
      </x:c>
      <x:c r="E23" s="14" t="str">
        <x:v>วัช</x:v>
      </x:c>
      <x:c r="F23" s="14" t="str">
        <x:v>Tawatchai_pi@thanulux.com</x:v>
      </x:c>
      <x:c r="G23" s="13" t="str">
        <x:v>2AM04</x:v>
      </x:c>
      <x:c r="H23" s="14" t="str">
        <x:v>ฝ่าย IT</x:v>
      </x:c>
      <x:c r="I23" s="13" t="str">
        <x:v>2AM04</x:v>
      </x:c>
      <x:c r="J23" s="14" t="str">
        <x:v>ฝ่าย IT</x:v>
      </x:c>
      <x:c r="K23" s="13" t="str">
        <x:v>OF002</x:v>
      </x:c>
      <x:c r="L23" s="14" t="str">
        <x:v>Microsoft 365 Business Basic</x:v>
      </x:c>
    </x:row>
    <x:row r="24" ht="21" customHeight="1">
      <x:c r="A24" s="13" t="n">
        <x:v>20</x:v>
      </x:c>
      <x:c r="B24" s="13" t="str">
        <x:v>T9265</x:v>
      </x:c>
      <x:c r="C24" s="14" t="str">
        <x:v>มนตรี เลี้ยงหล่ำ</x:v>
      </x:c>
      <x:c r="D24" s="14" t="str">
        <x:v>Montree Leanglam</x:v>
      </x:c>
      <x:c r="E24" s="14" t="str">
        <x:v>เอก</x:v>
      </x:c>
      <x:c r="F24" s="14" t="str">
        <x:v>Montree_le@thanulux.com</x:v>
      </x:c>
      <x:c r="G24" s="13" t="str">
        <x:v>2AM04</x:v>
      </x:c>
      <x:c r="H24" s="14" t="str">
        <x:v>ฝ่าย IT</x:v>
      </x:c>
      <x:c r="I24" s="13" t="str">
        <x:v>2AM04</x:v>
      </x:c>
      <x:c r="J24" s="14" t="str">
        <x:v>ฝ่าย IT</x:v>
      </x:c>
      <x:c r="K24" s="13" t="str">
        <x:v>OF002</x:v>
      </x:c>
      <x:c r="L24" s="14" t="str">
        <x:v>Microsoft 365 Business Basic</x:v>
      </x:c>
    </x:row>
    <x:row r="25" ht="21" customHeight="1">
      <x:c r="A25" s="13" t="n">
        <x:v>21</x:v>
      </x:c>
      <x:c r="B25" s="13" t="str">
        <x:v>T9267</x:v>
      </x:c>
      <x:c r="C25" s="14" t="str">
        <x:v>วรรณี สมบูรณ์</x:v>
      </x:c>
      <x:c r="D25" s="14" t="str">
        <x:v>Wannee Somboon</x:v>
      </x:c>
      <x:c r="E25" s="14" t="str">
        <x:v>ขวัญ</x:v>
      </x:c>
      <x:c r="F25" s="14" t="str">
        <x:v>wannee_so@thanulux.com</x:v>
      </x:c>
      <x:c r="G25" s="13" t="str">
        <x:v>G8111</x:v>
      </x:c>
      <x:c r="H25" s="14" t="str">
        <x:v>ฝ่าย Guy Laroche</x:v>
      </x:c>
      <x:c r="I25" s="13" t="str">
        <x:v>G8111</x:v>
      </x:c>
      <x:c r="J25" s="14" t="str">
        <x:v>ฝ่าย Guy Laroche</x:v>
      </x:c>
      <x:c r="K25" s="13" t="str">
        <x:v>OF002</x:v>
      </x:c>
      <x:c r="L25" s="14" t="str">
        <x:v>Microsoft 365 Business Basic</x:v>
      </x:c>
    </x:row>
    <x:row r="26" ht="21" customHeight="1">
      <x:c r="A26" s="13" t="n">
        <x:v>22</x:v>
      </x:c>
      <x:c r="B26" s="13" t="str">
        <x:v>T9280</x:v>
      </x:c>
      <x:c r="C26" s="14" t="str">
        <x:v>กรรณิกา บำรุงวงศ์ทอง</x:v>
      </x:c>
      <x:c r="D26" s="14" t="str">
        <x:v>Kannika Bumroongvongtong</x:v>
      </x:c>
      <x:c r="E26" s="14" t="str">
        <x:v>เจ</x:v>
      </x:c>
      <x:c r="F26" s="14" t="str">
        <x:v>kannika@thanulux.com</x:v>
      </x:c>
      <x:c r="G26" s="13" t="str">
        <x:v>2RE01</x:v>
      </x:c>
      <x:c r="H26" s="14" t="str">
        <x:v>ฝ่ายพัฒนาธุรกิจ</x:v>
      </x:c>
      <x:c r="I26" s="13" t="str">
        <x:v>1RE01</x:v>
      </x:c>
      <x:c r="J26" s="14" t="str"/>
      <x:c r="K26" s="13" t="str">
        <x:v>OF001</x:v>
      </x:c>
      <x:c r="L26" s="14" t="str">
        <x:v>Microsoft 365 Business Standard</x:v>
      </x:c>
    </x:row>
    <x:row r="27" ht="21" customHeight="1">
      <x:c r="A27" s="13" t="n">
        <x:v>23</x:v>
      </x:c>
      <x:c r="B27" s="13" t="str">
        <x:v>T9299</x:v>
      </x:c>
      <x:c r="C27" s="14" t="str">
        <x:v>ธนชัย พัวพันปัญโญภาส</x:v>
      </x:c>
      <x:c r="D27" s="14" t="str">
        <x:v>Thanachai Phuaphanpunyopas</x:v>
      </x:c>
      <x:c r="E27" s="14" t="str">
        <x:v>หนึ่ง</x:v>
      </x:c>
      <x:c r="F27" s="14" t="str">
        <x:v>thanachai_ph@thanulux.com</x:v>
      </x:c>
      <x:c r="G27" s="13" t="str">
        <x:v>2AM04</x:v>
      </x:c>
      <x:c r="H27" s="14" t="str">
        <x:v>ฝ่าย IT</x:v>
      </x:c>
      <x:c r="I27" s="13" t="str">
        <x:v>2AM04</x:v>
      </x:c>
      <x:c r="J27" s="14" t="str">
        <x:v>ฝ่าย IT</x:v>
      </x:c>
      <x:c r="K27" s="13" t="str">
        <x:v>OF002</x:v>
      </x:c>
      <x:c r="L27" s="14" t="str">
        <x:v>Microsoft 365 Business Basic</x:v>
      </x:c>
    </x:row>
    <x:row r="28" ht="21" customHeight="1">
      <x:c r="A28" s="13" t="n">
        <x:v>24</x:v>
      </x:c>
      <x:c r="B28" s="13" t="str">
        <x:v>T9304</x:v>
      </x:c>
      <x:c r="C28" s="14" t="str">
        <x:v>อวิตรา นุชารัมย์</x:v>
      </x:c>
      <x:c r="D28" s="14" t="str">
        <x:v>Avitra Nucharam</x:v>
      </x:c>
      <x:c r="E28" s="14" t="str">
        <x:v>นก</x:v>
      </x:c>
      <x:c r="F28" s="14" t="str">
        <x:v>Avitra_nu@thanulux.com</x:v>
      </x:c>
      <x:c r="G28" s="13" t="str">
        <x:v>Y8111</x:v>
      </x:c>
      <x:c r="H28" s="14" t="str">
        <x:v>แผนก OLYMP</x:v>
      </x:c>
      <x:c r="I28" s="13" t="str">
        <x:v>Y8111</x:v>
      </x:c>
      <x:c r="J28" s="14" t="str"/>
      <x:c r="K28" s="13" t="str">
        <x:v>OF001</x:v>
      </x:c>
      <x:c r="L28" s="14" t="str">
        <x:v>Microsoft 365 Business Standard</x:v>
      </x:c>
    </x:row>
    <x:row r="29" ht="21" customHeight="1">
      <x:c r="A29" s="13" t="n">
        <x:v>25</x:v>
      </x:c>
      <x:c r="B29" s="13" t="str">
        <x:v>T9315</x:v>
      </x:c>
      <x:c r="C29" s="14" t="str">
        <x:v>บรรจงรักษ์ ปุญญาคม</x:v>
      </x:c>
      <x:c r="D29" s="14" t="str">
        <x:v>Banjongruk Punyakom</x:v>
      </x:c>
      <x:c r="E29" s="14" t="str">
        <x:v>มด</x:v>
      </x:c>
      <x:c r="F29" s="14" t="str">
        <x:v>banjongruk_sa@thanulux.com</x:v>
      </x:c>
      <x:c r="G29" s="13" t="str">
        <x:v>I8111</x:v>
      </x:c>
      <x:c r="H29" s="14" t="str">
        <x:v>INNER GUY LAROCHE</x:v>
      </x:c>
      <x:c r="I29" s="13" t="str">
        <x:v>I8111</x:v>
      </x:c>
      <x:c r="J29" s="14" t="str">
        <x:v>ฝ่าย Apparel 2</x:v>
      </x:c>
      <x:c r="K29" s="13" t="str">
        <x:v>OF002</x:v>
      </x:c>
      <x:c r="L29" s="14" t="str">
        <x:v>Microsoft 365 Business Basic</x:v>
      </x:c>
    </x:row>
    <x:row r="30" ht="21" customHeight="1">
      <x:c r="A30" s="13" t="n">
        <x:v>26</x:v>
      </x:c>
      <x:c r="B30" s="13" t="str">
        <x:v>T9334</x:v>
      </x:c>
      <x:c r="C30" s="14" t="str">
        <x:v>ณฤดี พีรบริรักษ์</x:v>
      </x:c>
      <x:c r="D30" s="14" t="str">
        <x:v>Naluedee Phiraborirak</x:v>
      </x:c>
      <x:c r="E30" s="14" t="str">
        <x:v>ฟรอยด์</x:v>
      </x:c>
      <x:c r="F30" s="14" t="str">
        <x:v>Naluedee_ph@thanulux.com</x:v>
      </x:c>
      <x:c r="G30" s="13" t="str">
        <x:v>2AM04</x:v>
      </x:c>
      <x:c r="H30" s="14" t="str">
        <x:v>ฝ่าย IT</x:v>
      </x:c>
      <x:c r="I30" s="13" t="str">
        <x:v>2AM04</x:v>
      </x:c>
      <x:c r="J30" s="14" t="str">
        <x:v>ฝ่าย IT</x:v>
      </x:c>
      <x:c r="K30" s="13" t="str">
        <x:v>OF002</x:v>
      </x:c>
      <x:c r="L30" s="14" t="str">
        <x:v>Microsoft 365 Business Basic</x:v>
      </x:c>
    </x:row>
    <x:row r="31" ht="21" customHeight="1">
      <x:c r="A31" s="13" t="n">
        <x:v>27</x:v>
      </x:c>
      <x:c r="B31" s="13" t="str">
        <x:v>T9344</x:v>
      </x:c>
      <x:c r="C31" s="14" t="str">
        <x:v>วลีรัตน์ สกุลประเสริฐยิ่ง</x:v>
      </x:c>
      <x:c r="D31" s="14" t="str">
        <x:v>Waleerat Sakulprasertying</x:v>
      </x:c>
      <x:c r="E31" s="14" t="str">
        <x:v>น้อง</x:v>
      </x:c>
      <x:c r="F31" s="14" t="str">
        <x:v>Waleerat_sk@thanulux.com</x:v>
      </x:c>
      <x:c r="G31" s="13" t="str">
        <x:v>R8111</x:v>
      </x:c>
      <x:c r="H31" s="14" t="str">
        <x:v>ฝ่ายธุรกิจเครื่องหนัง EXPORT</x:v>
      </x:c>
      <x:c r="I31" s="13" t="str">
        <x:v>R8111</x:v>
      </x:c>
      <x:c r="J31" s="14" t="str">
        <x:v>ฝ่ายธุรกิจเครื่องหนัง EXPORT</x:v>
      </x:c>
      <x:c r="K31" s="13" t="str">
        <x:v>OF001</x:v>
      </x:c>
      <x:c r="L31" s="14" t="str">
        <x:v>Microsoft 365 Business Standard</x:v>
      </x:c>
    </x:row>
    <x:row r="32" ht="21" customHeight="1">
      <x:c r="A32" s="13" t="n">
        <x:v>28</x:v>
      </x:c>
      <x:c r="B32" s="13" t="str">
        <x:v>T9353</x:v>
      </x:c>
      <x:c r="C32" s="14" t="str">
        <x:v>ปฐมพล ผลาพิบูลย์</x:v>
      </x:c>
      <x:c r="D32" s="14" t="str">
        <x:v>Patompon Bhlapibul</x:v>
      </x:c>
      <x:c r="E32" s="14" t="str">
        <x:v>ตู่</x:v>
      </x:c>
      <x:c r="F32" s="14" t="str">
        <x:v>Purchase_patompon@thanulux.com</x:v>
      </x:c>
      <x:c r="G32" s="13" t="str">
        <x:v>2PC02</x:v>
      </x:c>
      <x:c r="H32" s="14" t="str">
        <x:v>จัดซื้อเครื่องหนัง</x:v>
      </x:c>
      <x:c r="I32" s="13" t="str">
        <x:v>2PC02</x:v>
      </x:c>
      <x:c r="J32" s="14" t="str"/>
      <x:c r="K32" s="13" t="str">
        <x:v>OF001</x:v>
      </x:c>
      <x:c r="L32" s="14" t="str">
        <x:v>Microsoft 365 Business Standard</x:v>
      </x:c>
    </x:row>
    <x:row r="33" ht="21" customHeight="1">
      <x:c r="A33" s="13" t="n">
        <x:v>29</x:v>
      </x:c>
      <x:c r="B33" s="13" t="str">
        <x:v>T9362</x:v>
      </x:c>
      <x:c r="C33" s="14" t="str">
        <x:v>วราลักษณ์ สุขพรรณเจริญ</x:v>
      </x:c>
      <x:c r="D33" s="14" t="str">
        <x:v>Waraluk Sukphancharoen</x:v>
      </x:c>
      <x:c r="E33" s="14" t="str">
        <x:v>ยุ้ย</x:v>
      </x:c>
      <x:c r="F33" s="14" t="str">
        <x:v>Waraluk_su@thanulux.com</x:v>
      </x:c>
      <x:c r="G33" s="13" t="str">
        <x:v>2AM04</x:v>
      </x:c>
      <x:c r="H33" s="14" t="str">
        <x:v>ฝ่าย IT</x:v>
      </x:c>
      <x:c r="I33" s="13" t="str">
        <x:v>2AM04</x:v>
      </x:c>
      <x:c r="J33" s="14" t="str">
        <x:v>ฝ่าย IT</x:v>
      </x:c>
      <x:c r="K33" s="13" t="str">
        <x:v>OF002</x:v>
      </x:c>
      <x:c r="L33" s="14" t="str">
        <x:v>Microsoft 365 Business Basic</x:v>
      </x:c>
    </x:row>
    <x:row r="34" ht="21" customHeight="1">
      <x:c r="A34" s="13" t="n">
        <x:v>30</x:v>
      </x:c>
      <x:c r="B34" s="13" t="str">
        <x:v>T9370</x:v>
      </x:c>
      <x:c r="C34" s="14" t="str">
        <x:v>กนกชัย มิ่งขวัญปิยะกุล</x:v>
      </x:c>
      <x:c r="D34" s="14" t="str">
        <x:v>Kanokchai Mingquanpiyakul</x:v>
      </x:c>
      <x:c r="E34" s="14" t="str">
        <x:v>พี่ปิง</x:v>
      </x:c>
      <x:c r="F34" s="14" t="str">
        <x:v>ping@thanulux.com</x:v>
      </x:c>
      <x:c r="G34" s="13" t="str">
        <x:v>A8111</x:v>
      </x:c>
      <x:c r="H34" s="14" t="str">
        <x:v>ฝ่าย ARROW</x:v>
      </x:c>
      <x:c r="I34" s="13" t="str">
        <x:v>A8111</x:v>
      </x:c>
      <x:c r="J34" s="14" t="str">
        <x:v>ฝ่าย ARROW</x:v>
      </x:c>
      <x:c r="K34" s="13" t="str">
        <x:v>OF002</x:v>
      </x:c>
      <x:c r="L34" s="14" t="str">
        <x:v>Microsoft 365 Business Basic</x:v>
      </x:c>
    </x:row>
    <x:row r="35" ht="21" customHeight="1">
      <x:c r="A35" s="13" t="n">
        <x:v>31</x:v>
      </x:c>
      <x:c r="B35" s="13" t="str">
        <x:v>T9384</x:v>
      </x:c>
      <x:c r="C35" s="14" t="str">
        <x:v>กานต์สิรี เทศทองคำ</x:v>
      </x:c>
      <x:c r="D35" s="14" t="str">
        <x:v>Karnsiree Testhongkam</x:v>
      </x:c>
      <x:c r="E35" s="14" t="str">
        <x:v>วา</x:v>
      </x:c>
      <x:c r="F35" s="14" t="str">
        <x:v>Karnsiree@thanulux.com</x:v>
      </x:c>
      <x:c r="G35" s="13" t="str">
        <x:v>C8111</x:v>
      </x:c>
      <x:c r="H35" s="14" t="str">
        <x:v>ABSORBA</x:v>
      </x:c>
      <x:c r="I35" s="13" t="str">
        <x:v>C8111</x:v>
      </x:c>
      <x:c r="J35" s="14" t="str">
        <x:v>ABSORBA</x:v>
      </x:c>
      <x:c r="K35" s="13" t="str">
        <x:v>OF002</x:v>
      </x:c>
      <x:c r="L35" s="14" t="str">
        <x:v>Microsoft 365 Business Basic</x:v>
      </x:c>
    </x:row>
    <x:row r="36" ht="21" customHeight="1">
      <x:c r="A36" s="13" t="n">
        <x:v>32</x:v>
      </x:c>
      <x:c r="B36" s="13" t="str">
        <x:v>T9410</x:v>
      </x:c>
      <x:c r="C36" s="14" t="str">
        <x:v>วรรณา ภู่รักแก้ว</x:v>
      </x:c>
      <x:c r="D36" s="14" t="str">
        <x:v>Wanna Purakkaew</x:v>
      </x:c>
      <x:c r="E36" s="14" t="str">
        <x:v>พี่ณา</x:v>
      </x:c>
      <x:c r="F36" s="14" t="str">
        <x:v>wanna_inner@thanulux.com</x:v>
      </x:c>
      <x:c r="G36" s="13" t="str">
        <x:v>P8111</x:v>
      </x:c>
      <x:c r="H36" s="14" t="str">
        <x:v>แผนกธุรกิจ DAKS</x:v>
      </x:c>
      <x:c r="I36" s="13" t="str">
        <x:v>P8111</x:v>
      </x:c>
      <x:c r="J36" s="14" t="str"/>
      <x:c r="K36" s="13" t="str">
        <x:v>OF001</x:v>
      </x:c>
      <x:c r="L36" s="14" t="str">
        <x:v>Microsoft 365 Business Standard</x:v>
      </x:c>
    </x:row>
    <x:row r="37" ht="21" customHeight="1">
      <x:c r="A37" s="13" t="n">
        <x:v>33</x:v>
      </x:c>
      <x:c r="B37" s="13" t="str">
        <x:v>T9439</x:v>
      </x:c>
      <x:c r="C37" s="14" t="str">
        <x:v>ธนกฤษ ไสยกิจ</x:v>
      </x:c>
      <x:c r="D37" s="14" t="str">
        <x:v>Thanakrit Saiyakit</x:v>
      </x:c>
      <x:c r="E37" s="14" t="str">
        <x:v>เอ</x:v>
      </x:c>
      <x:c r="F37" s="14" t="str">
        <x:v>thanakrit_sa@thanulux.com</x:v>
      </x:c>
      <x:c r="G37" s="13" t="str">
        <x:v>A8111</x:v>
      </x:c>
      <x:c r="H37" s="14" t="str">
        <x:v>ฝ่าย ARROW</x:v>
      </x:c>
      <x:c r="I37" s="13" t="str">
        <x:v>A8111</x:v>
      </x:c>
      <x:c r="J37" s="14" t="str">
        <x:v>ฝ่าย ARROW</x:v>
      </x:c>
      <x:c r="K37" s="13" t="str">
        <x:v>OF002</x:v>
      </x:c>
      <x:c r="L37" s="14" t="str">
        <x:v>Microsoft 365 Business Basic</x:v>
      </x:c>
    </x:row>
    <x:row r="38" ht="21" customHeight="1">
      <x:c r="A38" s="13" t="n">
        <x:v>34</x:v>
      </x:c>
      <x:c r="B38" s="13" t="str">
        <x:v>T9451</x:v>
      </x:c>
      <x:c r="C38" s="14" t="str">
        <x:v>วิภารัตน์ พันธ์ผาด</x:v>
      </x:c>
      <x:c r="D38" s="14" t="str">
        <x:v>Wiparat Phanphad</x:v>
      </x:c>
      <x:c r="E38" s="14" t="str">
        <x:v>แอม</x:v>
      </x:c>
      <x:c r="F38" s="14" t="str">
        <x:v>wiparat_ph@thanulux.com</x:v>
      </x:c>
      <x:c r="G38" s="13" t="str">
        <x:v>2AM03</x:v>
      </x:c>
      <x:c r="H38" s="14" t="str">
        <x:v>ฝ่าย HR</x:v>
      </x:c>
      <x:c r="I38" s="13" t="str">
        <x:v>2AM03</x:v>
      </x:c>
      <x:c r="J38" s="14" t="str">
        <x:v>ฝ่าย HR</x:v>
      </x:c>
      <x:c r="K38" s="13" t="str">
        <x:v>OF001</x:v>
      </x:c>
      <x:c r="L38" s="14" t="str">
        <x:v>Microsoft 365 Business Standard</x:v>
      </x:c>
    </x:row>
    <x:row r="39" ht="21" customHeight="1">
      <x:c r="A39" s="13" t="n">
        <x:v>35</x:v>
      </x:c>
      <x:c r="B39" s="13" t="str">
        <x:v>T9463</x:v>
      </x:c>
      <x:c r="C39" s="14" t="str">
        <x:v>สุนีย์ คงสงฆ์</x:v>
      </x:c>
      <x:c r="D39" s="14" t="str">
        <x:v>Sunee Kongsong</x:v>
      </x:c>
      <x:c r="E39" s="14" t="str">
        <x:v>อ้อย</x:v>
      </x:c>
      <x:c r="F39" s="14" t="str">
        <x:v>Sunee@thanulux.com</x:v>
      </x:c>
      <x:c r="G39" s="13" t="str">
        <x:v>2AM04</x:v>
      </x:c>
      <x:c r="H39" s="14" t="str">
        <x:v>ฝ่าย IT</x:v>
      </x:c>
      <x:c r="I39" s="13" t="str">
        <x:v>2AM04</x:v>
      </x:c>
      <x:c r="J39" s="14" t="str">
        <x:v>ฝ่าย IT</x:v>
      </x:c>
      <x:c r="K39" s="13" t="str">
        <x:v>OF002</x:v>
      </x:c>
      <x:c r="L39" s="14" t="str">
        <x:v>Microsoft 365 Business Basic</x:v>
      </x:c>
    </x:row>
    <x:row r="40" ht="21" customHeight="1">
      <x:c r="A40" s="13" t="n">
        <x:v>36</x:v>
      </x:c>
      <x:c r="B40" s="13" t="str">
        <x:v>T9490</x:v>
      </x:c>
      <x:c r="C40" s="14" t="str">
        <x:v>จันทนา สวนพฤกษา</x:v>
      </x:c>
      <x:c r="D40" s="14" t="str">
        <x:v>Janthana Suanprueksa</x:v>
      </x:c>
      <x:c r="E40" s="14" t="str">
        <x:v>หน่อย</x:v>
      </x:c>
      <x:c r="F40" s="14" t="str">
        <x:v>janthana_su@thanulux.com</x:v>
      </x:c>
      <x:c r="G40" s="13" t="str">
        <x:v>1RI01</x:v>
      </x:c>
      <x:c r="H40" s="14" t="str">
        <x:v>หน่วยวิจัยพัฒนา</x:v>
      </x:c>
      <x:c r="I40" s="13" t="str">
        <x:v>1RI01</x:v>
      </x:c>
      <x:c r="J40" s="14" t="str"/>
      <x:c r="K40" s="13" t="str">
        <x:v>OF001</x:v>
      </x:c>
      <x:c r="L40" s="14" t="str">
        <x:v>Microsoft 365 Business Standard</x:v>
      </x:c>
    </x:row>
    <x:row r="41" ht="21" customHeight="1">
      <x:c r="A41" s="13" t="n">
        <x:v>37</x:v>
      </x:c>
      <x:c r="B41" s="13" t="str">
        <x:v>T9495</x:v>
      </x:c>
      <x:c r="C41" s="14" t="str">
        <x:v>สาคร เพิ่มสวัสดิ์</x:v>
      </x:c>
      <x:c r="D41" s="14" t="str">
        <x:v>Sakorn Permsawat</x:v>
      </x:c>
      <x:c r="E41" s="14" t="str">
        <x:v>โอ๋</x:v>
      </x:c>
      <x:c r="F41" s="14" t="str">
        <x:v>Sakorn_pe@thanulux.com</x:v>
      </x:c>
      <x:c r="G41" s="13" t="str">
        <x:v>2AM04</x:v>
      </x:c>
      <x:c r="H41" s="14" t="str">
        <x:v>ฝ่าย IT</x:v>
      </x:c>
      <x:c r="I41" s="13" t="str">
        <x:v>2AM04</x:v>
      </x:c>
      <x:c r="J41" s="14" t="str">
        <x:v>ฝ่าย IT</x:v>
      </x:c>
      <x:c r="K41" s="13" t="str">
        <x:v>OF002</x:v>
      </x:c>
      <x:c r="L41" s="14" t="str">
        <x:v>Microsoft 365 Business Basic</x:v>
      </x:c>
    </x:row>
    <x:row r="42" ht="21" customHeight="1">
      <x:c r="A42" s="13" t="n">
        <x:v>38</x:v>
      </x:c>
      <x:c r="B42" s="13" t="str">
        <x:v>T9515</x:v>
      </x:c>
      <x:c r="C42" s="14" t="str">
        <x:v>ปานมนัส ทิตระกูล</x:v>
      </x:c>
      <x:c r="D42" s="14" t="str">
        <x:v>Panmanat Titragool</x:v>
      </x:c>
      <x:c r="E42" s="14" t="str">
        <x:v>เนม</x:v>
      </x:c>
      <x:c r="F42" s="14" t="str">
        <x:v>Panmanat_ti@thanulux.com</x:v>
      </x:c>
      <x:c r="G42" s="13" t="str">
        <x:v>2AM04</x:v>
      </x:c>
      <x:c r="H42" s="14" t="str">
        <x:v>ฝ่าย IT</x:v>
      </x:c>
      <x:c r="I42" s="13" t="str">
        <x:v>2AM04</x:v>
      </x:c>
      <x:c r="J42" s="14" t="str">
        <x:v>ฝ่าย IT</x:v>
      </x:c>
      <x:c r="K42" s="13" t="str">
        <x:v>OF002</x:v>
      </x:c>
      <x:c r="L42" s="14" t="str">
        <x:v>Microsoft 365 Business Basic</x:v>
      </x:c>
    </x:row>
    <x:row r="43" ht="21" customHeight="1">
      <x:c r="A43" s="13" t="n">
        <x:v>39</x:v>
      </x:c>
      <x:c r="B43" s="13" t="str">
        <x:v>T9521</x:v>
      </x:c>
      <x:c r="C43" s="14" t="str">
        <x:v>ฉันทิตา ศิริศักดิพร</x:v>
      </x:c>
      <x:c r="D43" s="14" t="str">
        <x:v>Chanthita Sirisakdiporn</x:v>
      </x:c>
      <x:c r="E43" s="14" t="str">
        <x:v>ตา</x:v>
      </x:c>
      <x:c r="F43" s="14" t="str">
        <x:v>Chanthita_si@thanulux.com</x:v>
      </x:c>
      <x:c r="G43" s="13" t="str">
        <x:v>2AM03</x:v>
      </x:c>
      <x:c r="H43" s="14" t="str">
        <x:v>ฝ่าย HR</x:v>
      </x:c>
      <x:c r="I43" s="13" t="str">
        <x:v>2AM03</x:v>
      </x:c>
      <x:c r="J43" s="14" t="str">
        <x:v>ฝ่าย HR</x:v>
      </x:c>
      <x:c r="K43" s="13" t="str">
        <x:v>OF001</x:v>
      </x:c>
      <x:c r="L43" s="14" t="str">
        <x:v>Microsoft 365 Business Standard</x:v>
      </x:c>
    </x:row>
    <x:row r="44" ht="21" customHeight="1">
      <x:c r="A44" s="13" t="n">
        <x:v>40</x:v>
      </x:c>
      <x:c r="B44" s="13" t="str">
        <x:v>T9530</x:v>
      </x:c>
      <x:c r="C44" s="14" t="str">
        <x:v>สลิลา ไกลกล่อม</x:v>
      </x:c>
      <x:c r="D44" s="14" t="str">
        <x:v>Salila Klaiklom</x:v>
      </x:c>
      <x:c r="E44" s="14" t="str">
        <x:v>นุช</x:v>
      </x:c>
      <x:c r="F44" s="14" t="str">
        <x:v>salila_kl@thanulux.com</x:v>
      </x:c>
      <x:c r="G44" s="13" t="str">
        <x:v>H8111</x:v>
      </x:c>
      <x:c r="H44" s="14" t="str">
        <x:v>House Brand</x:v>
      </x:c>
      <x:c r="I44" s="13" t="str">
        <x:v>H8111</x:v>
      </x:c>
      <x:c r="J44" s="14" t="str"/>
      <x:c r="K44" s="13" t="str">
        <x:v>OF002</x:v>
      </x:c>
      <x:c r="L44" s="14" t="str">
        <x:v>Microsoft 365 Business Basic</x:v>
      </x:c>
    </x:row>
    <x:row r="45" ht="21" customHeight="1">
      <x:c r="A45" s="13" t="n">
        <x:v>41</x:v>
      </x:c>
      <x:c r="B45" s="13" t="str">
        <x:v>T9571</x:v>
      </x:c>
      <x:c r="C45" s="14" t="str">
        <x:v>ไพลิน โล่ห์บัณฑิตกุล</x:v>
      </x:c>
      <x:c r="D45" s="14" t="str">
        <x:v>Pailin Lohbanditkul</x:v>
      </x:c>
      <x:c r="E45" s="14" t="str">
        <x:v>ไพลิน</x:v>
      </x:c>
      <x:c r="F45" s="14" t="str">
        <x:v>pailin_lo@thanulux.com</x:v>
      </x:c>
      <x:c r="G45" s="13" t="str">
        <x:v>P8111</x:v>
      </x:c>
      <x:c r="H45" s="14" t="str">
        <x:v>แผนกธุรกิจ DAKS</x:v>
      </x:c>
      <x:c r="I45" s="13" t="str">
        <x:v>P8111</x:v>
      </x:c>
      <x:c r="J45" s="14" t="str"/>
      <x:c r="K45" s="13" t="str">
        <x:v>OF001</x:v>
      </x:c>
      <x:c r="L45" s="14" t="str">
        <x:v>Microsoft 365 Business Standard</x:v>
      </x:c>
    </x:row>
    <x:row r="46" ht="21" customHeight="1">
      <x:c r="A46" s="13" t="n">
        <x:v>42</x:v>
      </x:c>
      <x:c r="B46" s="13" t="str">
        <x:v>T9603</x:v>
      </x:c>
      <x:c r="C46" s="14" t="str">
        <x:v>ปัญจพล จันทร์ทรง</x:v>
      </x:c>
      <x:c r="D46" s="14" t="str">
        <x:v>Panjaphol Jansong</x:v>
      </x:c>
      <x:c r="E46" s="14" t="str">
        <x:v>หนึ่ง/ลาออก</x:v>
      </x:c>
      <x:c r="F46" s="14" t="str">
        <x:v>panjaphol_ja@thanulux.com</x:v>
      </x:c>
      <x:c r="G46" s="13" t="str">
        <x:v>A8111</x:v>
      </x:c>
      <x:c r="H46" s="14" t="str">
        <x:v>ฝ่าย ARROW</x:v>
      </x:c>
      <x:c r="I46" s="13" t="str">
        <x:v>A8111</x:v>
      </x:c>
      <x:c r="J46" s="14" t="str">
        <x:v>ฝ่าย ARROW</x:v>
      </x:c>
      <x:c r="K46" s="13" t="str">
        <x:v>OF002</x:v>
      </x:c>
      <x:c r="L46" s="14" t="str">
        <x:v>Microsoft 365 Business Basic</x:v>
      </x:c>
    </x:row>
    <x:row r="47" ht="21" customHeight="1">
      <x:c r="A47" s="13" t="n">
        <x:v>43</x:v>
      </x:c>
      <x:c r="B47" s="13" t="str">
        <x:v>T9614</x:v>
      </x:c>
      <x:c r="C47" s="14" t="str">
        <x:v>สวรรณกมล กิจสุนทราภา</x:v>
      </x:c>
      <x:c r="D47" s="14" t="str">
        <x:v>Sawankamon Kijsoontrapa</x:v>
      </x:c>
      <x:c r="E47" s="14" t="str">
        <x:v>พี่จึง</x:v>
      </x:c>
      <x:c r="F47" s="14" t="str">
        <x:v>jueng@thanulux.com</x:v>
      </x:c>
      <x:c r="G47" s="13" t="str">
        <x:v>P8111</x:v>
      </x:c>
      <x:c r="H47" s="14" t="str">
        <x:v>แผนกธุรกิจ DAKS</x:v>
      </x:c>
      <x:c r="I47" s="13" t="str">
        <x:v>P8111</x:v>
      </x:c>
      <x:c r="J47" s="14" t="str"/>
      <x:c r="K47" s="13" t="str">
        <x:v>OF001</x:v>
      </x:c>
      <x:c r="L47" s="14" t="str">
        <x:v>Microsoft 365 Business Standard</x:v>
      </x:c>
    </x:row>
    <x:row r="48" ht="21" customHeight="1">
      <x:c r="A48" s="13" t="n">
        <x:v>44</x:v>
      </x:c>
      <x:c r="B48" s="13" t="str">
        <x:v>T9618</x:v>
      </x:c>
      <x:c r="C48" s="14" t="str">
        <x:v>ลัดดาวัลย์ โสทัศน์</x:v>
      </x:c>
      <x:c r="D48" s="14" t="str">
        <x:v>Laddawan Sothus</x:v>
      </x:c>
      <x:c r="E48" s="14" t="str">
        <x:v>เจี๊ยบ</x:v>
      </x:c>
      <x:c r="F48" s="14" t="str">
        <x:v>Laddawan_so@thanulux.com</x:v>
      </x:c>
      <x:c r="G48" s="13" t="str">
        <x:v>R8111</x:v>
      </x:c>
      <x:c r="H48" s="14" t="str">
        <x:v>ฝ่ายธุรกิจเครื่องหนัง EXPORT</x:v>
      </x:c>
      <x:c r="I48" s="13" t="str">
        <x:v>R8111</x:v>
      </x:c>
      <x:c r="J48" s="14" t="str">
        <x:v>ฝ่ายธุรกิจเครื่องหนัง EXPORT</x:v>
      </x:c>
      <x:c r="K48" s="13" t="str">
        <x:v>OF001</x:v>
      </x:c>
      <x:c r="L48" s="14" t="str">
        <x:v>Microsoft 365 Business Standard</x:v>
      </x:c>
    </x:row>
    <x:row r="49" ht="21" customHeight="1">
      <x:c r="A49" s="13" t="n">
        <x:v>45</x:v>
      </x:c>
      <x:c r="B49" s="13" t="str">
        <x:v>T9622</x:v>
      </x:c>
      <x:c r="C49" s="14" t="str">
        <x:v>อัจฉรา ธรรมนาวรรณ</x:v>
      </x:c>
      <x:c r="D49" s="14" t="str">
        <x:v>Atchara Thammanawan</x:v>
      </x:c>
      <x:c r="E49" s="14" t="str">
        <x:v>อุ๋ย</x:v>
      </x:c>
      <x:c r="F49" s="14" t="str">
        <x:v>atchara_guy@thanulux.com</x:v>
      </x:c>
      <x:c r="G49" s="13" t="str">
        <x:v>G8111</x:v>
      </x:c>
      <x:c r="H49" s="14" t="str">
        <x:v>ฝ่าย Guy Laroche</x:v>
      </x:c>
      <x:c r="I49" s="13" t="str">
        <x:v>G8111</x:v>
      </x:c>
      <x:c r="J49" s="14" t="str">
        <x:v>ฝ่าย Guy Laroche</x:v>
      </x:c>
      <x:c r="K49" s="13" t="str">
        <x:v>OF002</x:v>
      </x:c>
      <x:c r="L49" s="14" t="str">
        <x:v>Microsoft 365 Business Basic</x:v>
      </x:c>
    </x:row>
    <x:row r="50" ht="21" customHeight="1">
      <x:c r="A50" s="13" t="n">
        <x:v>46</x:v>
      </x:c>
      <x:c r="B50" s="13" t="str">
        <x:v>T9655</x:v>
      </x:c>
      <x:c r="C50" s="14" t="str">
        <x:v>เอกพรรณ ชุมนิกาย</x:v>
      </x:c>
      <x:c r="D50" s="14" t="str">
        <x:v>Ekkaphan Chumnikay</x:v>
      </x:c>
      <x:c r="E50" s="14" t="str">
        <x:v>ปอนด์</x:v>
      </x:c>
      <x:c r="F50" s="14" t="str">
        <x:v>ekkaphan_ch@thanulux.com</x:v>
      </x:c>
      <x:c r="G50" s="13" t="str">
        <x:v>A8111</x:v>
      </x:c>
      <x:c r="H50" s="14" t="str">
        <x:v>ฝ่าย ARROW</x:v>
      </x:c>
      <x:c r="I50" s="13" t="str">
        <x:v>A8111</x:v>
      </x:c>
      <x:c r="J50" s="14" t="str">
        <x:v>ฝ่าย ARROW</x:v>
      </x:c>
      <x:c r="K50" s="13" t="str">
        <x:v>OF002</x:v>
      </x:c>
      <x:c r="L50" s="14" t="str">
        <x:v>Microsoft 365 Business Basic</x:v>
      </x:c>
    </x:row>
    <x:row r="51" ht="21" customHeight="1">
      <x:c r="A51" s="13" t="n">
        <x:v>47</x:v>
      </x:c>
      <x:c r="B51" s="13" t="str">
        <x:v>T9658</x:v>
      </x:c>
      <x:c r="C51" s="14" t="str">
        <x:v>รัชนิต ลือพงศ์พาณิชย์</x:v>
      </x:c>
      <x:c r="D51" s="14" t="str">
        <x:v>Ratchanit Luepongpanich</x:v>
      </x:c>
      <x:c r="E51" s="14" t="str">
        <x:v>อ๋อย</x:v>
      </x:c>
      <x:c r="F51" s="14" t="str">
        <x:v>aoi_gl@thanulux.com</x:v>
      </x:c>
      <x:c r="G51" s="13" t="str">
        <x:v>2AM01</x:v>
      </x:c>
      <x:c r="H51" s="14" t="str">
        <x:v>แผนกบัญชี</x:v>
      </x:c>
      <x:c r="I51" s="13" t="str">
        <x:v>2AM01</x:v>
      </x:c>
      <x:c r="J51" s="14" t="str"/>
      <x:c r="K51" s="13" t="str">
        <x:v>OF001</x:v>
      </x:c>
      <x:c r="L51" s="14" t="str">
        <x:v>Microsoft 365 Business Standard</x:v>
      </x:c>
    </x:row>
    <x:row r="52" ht="21" customHeight="1">
      <x:c r="A52" s="13" t="n">
        <x:v>48</x:v>
      </x:c>
      <x:c r="B52" s="13" t="str">
        <x:v>T9671</x:v>
      </x:c>
      <x:c r="C52" s="14" t="str">
        <x:v>ศิริชัย ติระบาล</x:v>
      </x:c>
      <x:c r="D52" s="14" t="str">
        <x:v>Sirichai Thirabal</x:v>
      </x:c>
      <x:c r="E52" s="14" t="str">
        <x:v>ก๊อต/ลาออก</x:v>
      </x:c>
      <x:c r="F52" s="14" t="str">
        <x:v>sirichai_th@thanulux.com</x:v>
      </x:c>
      <x:c r="G52" s="13" t="str">
        <x:v>A8111</x:v>
      </x:c>
      <x:c r="H52" s="14" t="str">
        <x:v>ฝ่าย ARROW</x:v>
      </x:c>
      <x:c r="I52" s="13" t="str">
        <x:v>A8111</x:v>
      </x:c>
      <x:c r="J52" s="14" t="str">
        <x:v>ฝ่าย ARROW</x:v>
      </x:c>
      <x:c r="K52" s="13" t="str">
        <x:v>OF002</x:v>
      </x:c>
      <x:c r="L52" s="14" t="str">
        <x:v>Microsoft 365 Business Basic</x:v>
      </x:c>
    </x:row>
    <x:row r="53" ht="21" customHeight="1">
      <x:c r="A53" s="13" t="n">
        <x:v>49</x:v>
      </x:c>
      <x:c r="B53" s="13" t="str">
        <x:v>T9672</x:v>
      </x:c>
      <x:c r="C53" s="14" t="str">
        <x:v>อภิชาติ ผาลึกโรจน์</x:v>
      </x:c>
      <x:c r="D53" s="14" t="str">
        <x:v>Apichart Phaluekroj</x:v>
      </x:c>
      <x:c r="E53" s="14" t="str">
        <x:v>ชาติ</x:v>
      </x:c>
      <x:c r="F53" s="14" t="str">
        <x:v>apichart_ph@thanulux.com</x:v>
      </x:c>
      <x:c r="G53" s="13" t="str">
        <x:v>2AM04</x:v>
      </x:c>
      <x:c r="H53" s="14" t="str">
        <x:v>ฝ่าย IT</x:v>
      </x:c>
      <x:c r="I53" s="13" t="str">
        <x:v>2AM04</x:v>
      </x:c>
      <x:c r="J53" s="14" t="str">
        <x:v>ฝ่าย IT</x:v>
      </x:c>
      <x:c r="K53" s="13" t="str">
        <x:v>OF002</x:v>
      </x:c>
      <x:c r="L53" s="14" t="str">
        <x:v>Microsoft 365 Business Basic</x:v>
      </x:c>
    </x:row>
    <x:row r="54" ht="21" customHeight="1">
      <x:c r="A54" s="13" t="n">
        <x:v>50</x:v>
      </x:c>
      <x:c r="B54" s="13" t="str">
        <x:v>T9696</x:v>
      </x:c>
      <x:c r="C54" s="14" t="str">
        <x:v>ศิริ รัตนาไพบูลย์</x:v>
      </x:c>
      <x:c r="D54" s="14" t="str">
        <x:v>ศิริ รัตนาไพบูลย์</x:v>
      </x:c>
      <x:c r="E54" s="14" t="str">
        <x:v>หน่อง</x:v>
      </x:c>
      <x:c r="F54" s="14" t="str">
        <x:v>Siri@thanulux.com</x:v>
      </x:c>
      <x:c r="G54" s="13" t="str">
        <x:v>2AM04</x:v>
      </x:c>
      <x:c r="H54" s="14" t="str">
        <x:v>ฝ่าย IT</x:v>
      </x:c>
      <x:c r="I54" s="13" t="str">
        <x:v>2AM04</x:v>
      </x:c>
      <x:c r="J54" s="14" t="str">
        <x:v>ฝ่าย IT</x:v>
      </x:c>
      <x:c r="K54" s="13" t="str">
        <x:v>OF001</x:v>
      </x:c>
      <x:c r="L54" s="14" t="str">
        <x:v>Microsoft 365 Business Standard</x:v>
      </x:c>
    </x:row>
    <x:row r="55" ht="21" customHeight="1">
      <x:c r="A55" s="13" t="n">
        <x:v>51</x:v>
      </x:c>
      <x:c r="B55" s="13" t="str">
        <x:v>T9710</x:v>
      </x:c>
      <x:c r="C55" s="14" t="str">
        <x:v>เกศินี สุภะชุณหะ</x:v>
      </x:c>
      <x:c r="D55" s="14" t="str">
        <x:v>Kesinee Supachunha</x:v>
      </x:c>
      <x:c r="E55" s="14" t="str">
        <x:v>จริง</x:v>
      </x:c>
      <x:c r="F55" s="14" t="str">
        <x:v>Kesinee_su@thanulux.com</x:v>
      </x:c>
      <x:c r="G55" s="13" t="str">
        <x:v>2AM04</x:v>
      </x:c>
      <x:c r="H55" s="14" t="str">
        <x:v>ฝ่าย IT</x:v>
      </x:c>
      <x:c r="I55" s="13" t="str">
        <x:v>2AM04</x:v>
      </x:c>
      <x:c r="J55" s="14" t="str">
        <x:v>ฝ่าย IT</x:v>
      </x:c>
      <x:c r="K55" s="13" t="str">
        <x:v>OF002</x:v>
      </x:c>
      <x:c r="L55" s="14" t="str">
        <x:v>Microsoft 365 Business Basic</x:v>
      </x:c>
    </x:row>
    <x:row r="56" ht="21" customHeight="1">
      <x:c r="A56" s="13" t="n">
        <x:v>52</x:v>
      </x:c>
      <x:c r="B56" s="13" t="str">
        <x:v>T9711</x:v>
      </x:c>
      <x:c r="C56" s="14" t="str">
        <x:v>ชนิดา เหล่าประชาสกุล</x:v>
      </x:c>
      <x:c r="D56" s="14" t="str">
        <x:v>Chanida Laoprachasakul</x:v>
      </x:c>
      <x:c r="E56" s="14" t="str">
        <x:v>เก๋</x:v>
      </x:c>
      <x:c r="F56" s="14" t="str">
        <x:v>chanida_la@thanulux.com</x:v>
      </x:c>
      <x:c r="G56" s="13" t="str">
        <x:v>A8111</x:v>
      </x:c>
      <x:c r="H56" s="14" t="str">
        <x:v>ฝ่าย ARROW</x:v>
      </x:c>
      <x:c r="I56" s="13" t="str">
        <x:v>A8111</x:v>
      </x:c>
      <x:c r="J56" s="14" t="str">
        <x:v>ฝ่าย ARROW</x:v>
      </x:c>
      <x:c r="K56" s="13" t="str">
        <x:v>OF002</x:v>
      </x:c>
      <x:c r="L56" s="14" t="str">
        <x:v>Microsoft 365 Business Basic</x:v>
      </x:c>
    </x:row>
    <x:row r="57" ht="21" customHeight="1">
      <x:c r="A57" s="13" t="n">
        <x:v>53</x:v>
      </x:c>
      <x:c r="B57" s="13" t="str">
        <x:v>T9716</x:v>
      </x:c>
      <x:c r="C57" s="14" t="str">
        <x:v>สมยศ ชูเผือก</x:v>
      </x:c>
      <x:c r="D57" s="14" t="str">
        <x:v>Somyos Chupuak</x:v>
      </x:c>
      <x:c r="E57" s="14" t="str">
        <x:v>เปี๊ยก</x:v>
      </x:c>
      <x:c r="F57" s="14" t="str">
        <x:v>Somyos_ch@thanulux.com</x:v>
      </x:c>
      <x:c r="G57" s="13" t="str">
        <x:v>2AM04</x:v>
      </x:c>
      <x:c r="H57" s="14" t="str">
        <x:v>ฝ่าย IT</x:v>
      </x:c>
      <x:c r="I57" s="13" t="str">
        <x:v>2AM04</x:v>
      </x:c>
      <x:c r="J57" s="14" t="str">
        <x:v>ฝ่าย IT</x:v>
      </x:c>
      <x:c r="K57" s="13" t="str">
        <x:v>OF002</x:v>
      </x:c>
      <x:c r="L57" s="14" t="str">
        <x:v>Microsoft 365 Business Basic</x:v>
      </x:c>
    </x:row>
    <x:row r="58" ht="21" customHeight="1">
      <x:c r="A58" s="13" t="n">
        <x:v>54</x:v>
      </x:c>
      <x:c r="B58" s="13" t="str">
        <x:v>T9724</x:v>
      </x:c>
      <x:c r="C58" s="14" t="str">
        <x:v>ณัฐจิตกานต์ รินทา</x:v>
      </x:c>
      <x:c r="D58" s="14" t="str">
        <x:v>Natjittakan Rinta</x:v>
      </x:c>
      <x:c r="E58" s="14" t="str">
        <x:v>นัท</x:v>
      </x:c>
      <x:c r="F58" s="14" t="str">
        <x:v>natjittakan_guy@thanulux.com</x:v>
      </x:c>
      <x:c r="G58" s="13" t="str">
        <x:v>G8111</x:v>
      </x:c>
      <x:c r="H58" s="14" t="str">
        <x:v>ฝ่าย Guy Laroche</x:v>
      </x:c>
      <x:c r="I58" s="13" t="str">
        <x:v>G8111</x:v>
      </x:c>
      <x:c r="J58" s="14" t="str">
        <x:v>ฝ่าย Guy Laroche</x:v>
      </x:c>
      <x:c r="K58" s="13" t="str">
        <x:v>OF002</x:v>
      </x:c>
      <x:c r="L58" s="14" t="str">
        <x:v>Microsoft 365 Business Basic</x:v>
      </x:c>
    </x:row>
    <x:row r="59" ht="21" customHeight="1">
      <x:c r="A59" s="13" t="n">
        <x:v>55</x:v>
      </x:c>
      <x:c r="B59" s="13" t="str">
        <x:v>T9767</x:v>
      </x:c>
      <x:c r="C59" s="14" t="str">
        <x:v>ประทีป สงสนั่น</x:v>
      </x:c>
      <x:c r="D59" s="14" t="str">
        <x:v>Prateep Songsanun</x:v>
      </x:c>
      <x:c r="E59" s="14" t="str">
        <x:v>ทีป</x:v>
      </x:c>
      <x:c r="F59" s="14" t="str">
        <x:v>prateep_so@thanulux.com</x:v>
      </x:c>
      <x:c r="G59" s="13" t="str">
        <x:v>A8111</x:v>
      </x:c>
      <x:c r="H59" s="14" t="str">
        <x:v>ฝ่าย ARROW</x:v>
      </x:c>
      <x:c r="I59" s="13" t="str">
        <x:v>A8111</x:v>
      </x:c>
      <x:c r="J59" s="14" t="str">
        <x:v>ฝ่าย ARROW</x:v>
      </x:c>
      <x:c r="K59" s="13" t="str">
        <x:v>OF002</x:v>
      </x:c>
      <x:c r="L59" s="14" t="str">
        <x:v>Microsoft 365 Business Basic</x:v>
      </x:c>
    </x:row>
    <x:row r="60" ht="21" customHeight="1">
      <x:c r="A60" s="13" t="n">
        <x:v>56</x:v>
      </x:c>
      <x:c r="B60" s="13" t="str">
        <x:v>T9780</x:v>
      </x:c>
      <x:c r="C60" s="14" t="str">
        <x:v>จักรพันธุ์ เสนาไชย</x:v>
      </x:c>
      <x:c r="D60" s="14" t="str">
        <x:v>Jakkaphan Senachai</x:v>
      </x:c>
      <x:c r="E60" s="14" t="str">
        <x:v>เจ</x:v>
      </x:c>
      <x:c r="F60" s="14" t="str">
        <x:v>jakkaphan_se@thanulux.com</x:v>
      </x:c>
      <x:c r="G60" s="13" t="str">
        <x:v>L8111</x:v>
      </x:c>
      <x:c r="H60" s="14" t="str">
        <x:v>เครื่องหนัง GUY LAROCHE</x:v>
      </x:c>
      <x:c r="I60" s="13" t="str">
        <x:v>L8111</x:v>
      </x:c>
      <x:c r="J60" s="14" t="str">
        <x:v>ฝ่ายธุรกิจเครื่องหนังในประเทศ</x:v>
      </x:c>
      <x:c r="K60" s="13" t="str">
        <x:v>OF002</x:v>
      </x:c>
      <x:c r="L60" s="14" t="str">
        <x:v>Microsoft 365 Business Basic</x:v>
      </x:c>
    </x:row>
    <x:row r="61" ht="21" customHeight="1">
      <x:c r="A61" s="13" t="n">
        <x:v>57</x:v>
      </x:c>
      <x:c r="B61" s="13" t="str">
        <x:v>T9790</x:v>
      </x:c>
      <x:c r="C61" s="14" t="str">
        <x:v>วัชราพร จักร์ทิพย์</x:v>
      </x:c>
      <x:c r="D61" s="14" t="str">
        <x:v>Watcharaporn Jakthip</x:v>
      </x:c>
      <x:c r="E61" s="14" t="str">
        <x:v>เก๋</x:v>
      </x:c>
      <x:c r="F61" s="14" t="str">
        <x:v>watcharaporn_guy@thanulux.com</x:v>
      </x:c>
      <x:c r="G61" s="13" t="str">
        <x:v>G8111</x:v>
      </x:c>
      <x:c r="H61" s="14" t="str">
        <x:v>ฝ่าย Guy Laroche</x:v>
      </x:c>
      <x:c r="I61" s="13" t="str">
        <x:v>G8111</x:v>
      </x:c>
      <x:c r="J61" s="14" t="str">
        <x:v>ฝ่าย Guy Laroche</x:v>
      </x:c>
      <x:c r="K61" s="13" t="str">
        <x:v>OF002</x:v>
      </x:c>
      <x:c r="L61" s="14" t="str">
        <x:v>Microsoft 365 Business Basic</x:v>
      </x:c>
    </x:row>
    <x:row r="62" ht="21" customHeight="1">
      <x:c r="A62" s="13" t="n">
        <x:v>58</x:v>
      </x:c>
      <x:c r="B62" s="13" t="str">
        <x:v>T9795</x:v>
      </x:c>
      <x:c r="C62" s="14" t="str">
        <x:v>นพพร ตรัยตรึงศ์โกศล</x:v>
      </x:c>
      <x:c r="D62" s="14" t="str">
        <x:v>Nopporn Traitruengkosol</x:v>
      </x:c>
      <x:c r="E62" s="14" t="str">
        <x:v>บอย</x:v>
      </x:c>
      <x:c r="F62" s="14" t="str">
        <x:v>Nopporn_tr@thanulux.com</x:v>
      </x:c>
      <x:c r="G62" s="13" t="str">
        <x:v>2AM04</x:v>
      </x:c>
      <x:c r="H62" s="14" t="str">
        <x:v>ฝ่าย IT</x:v>
      </x:c>
      <x:c r="I62" s="13" t="str">
        <x:v>2AM04</x:v>
      </x:c>
      <x:c r="J62" s="14" t="str">
        <x:v>ฝ่าย IT</x:v>
      </x:c>
      <x:c r="K62" s="13" t="str">
        <x:v>OF002</x:v>
      </x:c>
      <x:c r="L62" s="14" t="str">
        <x:v>Microsoft 365 Business Basic</x:v>
      </x:c>
    </x:row>
    <x:row r="63" ht="21" customHeight="1">
      <x:c r="A63" s="13" t="n">
        <x:v>59</x:v>
      </x:c>
      <x:c r="B63" s="13" t="str">
        <x:v>T9800</x:v>
      </x:c>
      <x:c r="C63" s="14" t="str">
        <x:v>ศิริพร ธีรภาพวิวัฒน์</x:v>
      </x:c>
      <x:c r="D63" s="14" t="str">
        <x:v>Siriporn Thiraphapwiwat</x:v>
      </x:c>
      <x:c r="E63" s="14" t="str">
        <x:v>พี่พรใหญ่</x:v>
      </x:c>
      <x:c r="F63" s="14" t="str">
        <x:v>Siriporn_t@thanulux.com</x:v>
      </x:c>
      <x:c r="G63" s="13" t="str">
        <x:v>2AM04</x:v>
      </x:c>
      <x:c r="H63" s="14" t="str">
        <x:v>ฝ่าย IT</x:v>
      </x:c>
      <x:c r="I63" s="13" t="str">
        <x:v>2AM04</x:v>
      </x:c>
      <x:c r="J63" s="14" t="str">
        <x:v>ฝ่าย IT</x:v>
      </x:c>
      <x:c r="K63" s="13" t="str">
        <x:v>OF002</x:v>
      </x:c>
      <x:c r="L63" s="14" t="str">
        <x:v>Microsoft 365 Business Basic</x:v>
      </x:c>
    </x:row>
    <x:row r="64" ht="21" customHeight="1">
      <x:c r="A64" s="13" t="n">
        <x:v>60</x:v>
      </x:c>
      <x:c r="B64" s="13" t="str">
        <x:v>T9803</x:v>
      </x:c>
      <x:c r="C64" s="14" t="str">
        <x:v>จันทร์จิรา บุญจามรสกุลรุ่ง</x:v>
      </x:c>
      <x:c r="D64" s="14" t="str">
        <x:v>Chanchira Danprasopsuk</x:v>
      </x:c>
      <x:c r="E64" s="14" t="str">
        <x:v>ฝัน</x:v>
      </x:c>
      <x:c r="F64" s="14" t="str">
        <x:v>Chanchira_da@thanulux.com</x:v>
      </x:c>
      <x:c r="G64" s="13" t="str">
        <x:v>2AM04</x:v>
      </x:c>
      <x:c r="H64" s="14" t="str">
        <x:v>ฝ่าย IT</x:v>
      </x:c>
      <x:c r="I64" s="13" t="str">
        <x:v>2AM04</x:v>
      </x:c>
      <x:c r="J64" s="14" t="str">
        <x:v>ฝ่าย IT</x:v>
      </x:c>
      <x:c r="K64" s="13" t="str">
        <x:v>OF002</x:v>
      </x:c>
      <x:c r="L64" s="14" t="str">
        <x:v>Microsoft 365 Business Basic</x:v>
      </x:c>
    </x:row>
    <x:row r="65" ht="21" customHeight="1">
      <x:c r="A65" s="13" t="n">
        <x:v>61</x:v>
      </x:c>
      <x:c r="B65" s="13" t="str">
        <x:v>T9820</x:v>
      </x:c>
      <x:c r="C65" s="14" t="str">
        <x:v>สิริมา บุญจึงมงคล</x:v>
      </x:c>
      <x:c r="D65" s="14" t="str">
        <x:v>Sirima Boomjungmongkon</x:v>
      </x:c>
      <x:c r="E65" s="14" t="str">
        <x:v>สิมา</x:v>
      </x:c>
      <x:c r="F65" s="14" t="str">
        <x:v>sirima_bu@thanulux.com</x:v>
      </x:c>
      <x:c r="G65" s="13" t="str">
        <x:v>E8111</x:v>
      </x:c>
      <x:c r="H65" s="14" t="str">
        <x:v>แผนก Export Men's Wear</x:v>
      </x:c>
      <x:c r="I65" s="13" t="str">
        <x:v>E8111</x:v>
      </x:c>
      <x:c r="J65" s="14" t="str"/>
      <x:c r="K65" s="13" t="str">
        <x:v>OF001</x:v>
      </x:c>
      <x:c r="L65" s="14" t="str">
        <x:v>Microsoft 365 Business Standard</x:v>
      </x:c>
    </x:row>
    <x:row r="66" ht="21" customHeight="1">
      <x:c r="A66" s="13" t="n">
        <x:v>62</x:v>
      </x:c>
      <x:c r="B66" s="13" t="str">
        <x:v>T9851</x:v>
      </x:c>
      <x:c r="C66" s="14" t="str">
        <x:v>ยุพาพร เจียรกุล</x:v>
      </x:c>
      <x:c r="D66" s="14" t="str">
        <x:v>Yupaporn Jearrakul</x:v>
      </x:c>
      <x:c r="E66" s="14" t="str">
        <x:v>พี่ตา</x:v>
      </x:c>
      <x:c r="F66" s="14" t="str">
        <x:v>Yupaporn@thanulux.com</x:v>
      </x:c>
      <x:c r="G66" s="13" t="str">
        <x:v>2AM01</x:v>
      </x:c>
      <x:c r="H66" s="14" t="str">
        <x:v>แผนกบัญชี</x:v>
      </x:c>
      <x:c r="I66" s="13" t="str">
        <x:v>2AM01</x:v>
      </x:c>
      <x:c r="J66" s="14" t="str"/>
      <x:c r="K66" s="13" t="str">
        <x:v>OF001</x:v>
      </x:c>
      <x:c r="L66" s="14" t="str">
        <x:v>Microsoft 365 Business Standard</x:v>
      </x:c>
    </x:row>
    <x:row r="67" ht="21" customHeight="1">
      <x:c r="A67" s="13" t="n">
        <x:v>63</x:v>
      </x:c>
      <x:c r="B67" s="13" t="str">
        <x:v>T9855</x:v>
      </x:c>
      <x:c r="C67" s="14" t="str">
        <x:v>เสาวลักษณ์ ลาวัณย์รัตนากุล</x:v>
      </x:c>
      <x:c r="D67" s="14" t="str">
        <x:v>Saowaluk Lavanrattanakul</x:v>
      </x:c>
      <x:c r="E67" s="14" t="str">
        <x:v>ส้มโอ</x:v>
      </x:c>
      <x:c r="F67" s="14" t="str">
        <x:v>saowaluk_po@thanulux.com</x:v>
      </x:c>
      <x:c r="G67" s="13" t="str">
        <x:v>I8111</x:v>
      </x:c>
      <x:c r="H67" s="14" t="str">
        <x:v>INNER GUY LAROCHE</x:v>
      </x:c>
      <x:c r="I67" s="13" t="str">
        <x:v>I8111</x:v>
      </x:c>
      <x:c r="J67" s="14" t="str">
        <x:v>ฝ่าย Apparel 2</x:v>
      </x:c>
      <x:c r="K67" s="13" t="str">
        <x:v>OF002</x:v>
      </x:c>
      <x:c r="L67" s="14" t="str">
        <x:v>Microsoft 365 Business Basic</x:v>
      </x:c>
    </x:row>
    <x:row r="68" ht="21" customHeight="1">
      <x:c r="A68" s="13" t="n">
        <x:v>64</x:v>
      </x:c>
      <x:c r="B68" s="13" t="str">
        <x:v>T9861</x:v>
      </x:c>
      <x:c r="C68" s="14" t="str">
        <x:v>พริศา ประชุมทอง</x:v>
      </x:c>
      <x:c r="D68" s="14" t="str">
        <x:v>Pharisa Prachumtong</x:v>
      </x:c>
      <x:c r="E68" s="14" t="str">
        <x:v>ยุ้ย</x:v>
      </x:c>
      <x:c r="F68" s="14" t="str">
        <x:v>pharisa_pr@thanulux.com</x:v>
      </x:c>
      <x:c r="G68" s="13" t="str">
        <x:v>A8111</x:v>
      </x:c>
      <x:c r="H68" s="14" t="str">
        <x:v>ฝ่าย ARROW</x:v>
      </x:c>
      <x:c r="I68" s="13" t="str">
        <x:v>A8111</x:v>
      </x:c>
      <x:c r="J68" s="14" t="str">
        <x:v>ฝ่าย ARROW</x:v>
      </x:c>
      <x:c r="K68" s="13" t="str">
        <x:v>OF002</x:v>
      </x:c>
      <x:c r="L68" s="14" t="str">
        <x:v>Microsoft 365 Business Basic</x:v>
      </x:c>
    </x:row>
    <x:row r="69" ht="21" customHeight="1">
      <x:c r="A69" s="13" t="n">
        <x:v>65</x:v>
      </x:c>
      <x:c r="B69" s="13" t="str">
        <x:v>T9864</x:v>
      </x:c>
      <x:c r="C69" s="14" t="str">
        <x:v>อณิษา ตริยะพัฒนกำจร</x:v>
      </x:c>
      <x:c r="D69" s="14" t="str">
        <x:v>Anisa Triyapattanakamjorn</x:v>
      </x:c>
      <x:c r="E69" s="14" t="str">
        <x:v>ส้ม</x:v>
      </x:c>
      <x:c r="F69" s="14" t="str">
        <x:v>Anisa_tr@thanulux.com</x:v>
      </x:c>
      <x:c r="G69" s="13" t="str">
        <x:v>2AM01</x:v>
      </x:c>
      <x:c r="H69" s="14" t="str">
        <x:v>แผนกบัญชี</x:v>
      </x:c>
      <x:c r="I69" s="13" t="str">
        <x:v>2AM01</x:v>
      </x:c>
      <x:c r="J69" s="14" t="str"/>
      <x:c r="K69" s="13" t="str">
        <x:v>OF001</x:v>
      </x:c>
      <x:c r="L69" s="14" t="str">
        <x:v>Microsoft 365 Business Standard</x:v>
      </x:c>
    </x:row>
    <x:row r="70" ht="21" customHeight="1">
      <x:c r="A70" s="13" t="n">
        <x:v>66</x:v>
      </x:c>
      <x:c r="B70" s="13" t="str">
        <x:v>T9887</x:v>
      </x:c>
      <x:c r="C70" s="14" t="str">
        <x:v>สมชาย วีรปฏิญญา</x:v>
      </x:c>
      <x:c r="D70" s="14" t="str">
        <x:v>Somchai Weerapatinya</x:v>
      </x:c>
      <x:c r="E70" s="14" t="str">
        <x:v>โจ๊ก</x:v>
      </x:c>
      <x:c r="F70" s="14" t="str">
        <x:v>Somchai_we@thanulux.com</x:v>
      </x:c>
      <x:c r="G70" s="13" t="str">
        <x:v>2PC02</x:v>
      </x:c>
      <x:c r="H70" s="14" t="str">
        <x:v>จัดซื้อเครื่องหนัง</x:v>
      </x:c>
      <x:c r="I70" s="13" t="str">
        <x:v>2PC02</x:v>
      </x:c>
      <x:c r="J70" s="14" t="str"/>
      <x:c r="K70" s="13" t="str">
        <x:v>OF001</x:v>
      </x:c>
      <x:c r="L70" s="14" t="str">
        <x:v>Microsoft 365 Business Standard</x:v>
      </x:c>
    </x:row>
    <x:row r="71" ht="21" customHeight="1">
      <x:c r="A71" s="13" t="n">
        <x:v>67</x:v>
      </x:c>
      <x:c r="B71" s="13" t="str">
        <x:v>T9975</x:v>
      </x:c>
      <x:c r="C71" s="14" t="str">
        <x:v>อรวรรณ อุดมประเสริฐ</x:v>
      </x:c>
      <x:c r="D71" s="14" t="str">
        <x:v>Orawan udomprasert</x:v>
      </x:c>
      <x:c r="E71" s="14" t="str">
        <x:v>อิ๋ว</x:v>
      </x:c>
      <x:c r="F71" s="14" t="str">
        <x:v>orawan_ud@thanulux.com</x:v>
      </x:c>
      <x:c r="G71" s="13" t="str">
        <x:v>2AM04</x:v>
      </x:c>
      <x:c r="H71" s="14" t="str">
        <x:v>ฝ่าย IT</x:v>
      </x:c>
      <x:c r="I71" s="13" t="str">
        <x:v>2AM04</x:v>
      </x:c>
      <x:c r="J71" s="14" t="str">
        <x:v>ฝ่าย IT</x:v>
      </x:c>
      <x:c r="K71" s="13" t="str">
        <x:v>OF001</x:v>
      </x:c>
      <x:c r="L71" s="14" t="str">
        <x:v>Microsoft 365 Business Standard</x:v>
      </x:c>
    </x:row>
    <x:row r="72" ht="21" customHeight="1">
      <x:c r="A72" s="13" t="n">
        <x:v>68</x:v>
      </x:c>
      <x:c r="B72" s="13" t="str">
        <x:v>T9989</x:v>
      </x:c>
      <x:c r="C72" s="14" t="str">
        <x:v>กันทิมา ภู่เจริญ</x:v>
      </x:c>
      <x:c r="D72" s="14" t="str">
        <x:v>Kantima Pujaroen</x:v>
      </x:c>
      <x:c r="E72" s="14" t="str">
        <x:v>กันต์</x:v>
      </x:c>
      <x:c r="F72" s="14" t="str">
        <x:v>kantima_pu@thanulux.com</x:v>
      </x:c>
      <x:c r="G72" s="13" t="str">
        <x:v>L8111</x:v>
      </x:c>
      <x:c r="H72" s="14" t="str">
        <x:v>เครื่องหนัง GUY LAROCHE</x:v>
      </x:c>
      <x:c r="I72" s="13" t="str">
        <x:v>L8111</x:v>
      </x:c>
      <x:c r="J72" s="14" t="str">
        <x:v>ฝ่ายธุรกิจเครื่องหนังในประเทศ</x:v>
      </x:c>
      <x:c r="K72" s="13" t="str">
        <x:v>OF002</x:v>
      </x:c>
      <x:c r="L72" s="14" t="str">
        <x:v>Microsoft 365 Business Basic</x:v>
      </x:c>
    </x:row>
    <x:row r="73" ht="21" customHeight="1">
      <x:c r="A73" s="13" t="n">
        <x:v>69</x:v>
      </x:c>
      <x:c r="B73" s="13" t="str">
        <x:v>T9996</x:v>
      </x:c>
      <x:c r="C73" s="14" t="str">
        <x:v>สุนทรี จิตต์รุ่งเรืองชัย</x:v>
      </x:c>
      <x:c r="D73" s="14" t="str">
        <x:v>Soontaree Chitrongruangchai</x:v>
      </x:c>
      <x:c r="E73" s="14" t="str">
        <x:v>อ้อม</x:v>
      </x:c>
      <x:c r="F73" s="14" t="str">
        <x:v>Soontaree_ch@thanulux.com</x:v>
      </x:c>
      <x:c r="G73" s="13" t="str">
        <x:v>R8111</x:v>
      </x:c>
      <x:c r="H73" s="14" t="str">
        <x:v>ฝ่ายธุรกิจเครื่องหนัง EXPORT</x:v>
      </x:c>
      <x:c r="I73" s="13" t="str">
        <x:v>R8111</x:v>
      </x:c>
      <x:c r="J73" s="14" t="str">
        <x:v>ฝ่ายธุรกิจเครื่องหนัง EXPORT</x:v>
      </x:c>
      <x:c r="K73" s="13" t="str">
        <x:v>OF001</x:v>
      </x:c>
      <x:c r="L73" s="14" t="str">
        <x:v>Microsoft 365 Business Standard</x:v>
      </x:c>
    </x:row>
    <x:row r="74" ht="21" customHeight="1">
      <x:c r="A74" s="13" t="n">
        <x:v>70</x:v>
      </x:c>
      <x:c r="B74" s="13" t="str">
        <x:v>T9999</x:v>
      </x:c>
      <x:c r="C74" s="14" t="str">
        <x:v>มารินทร์ ลีลานุวัฒน์</x:v>
      </x:c>
      <x:c r="D74" s="14" t="str">
        <x:v>Marin Leelanuwatana</x:v>
      </x:c>
      <x:c r="E74" s="14" t="str">
        <x:v>คุณปุ่น</x:v>
      </x:c>
      <x:c r="F74" s="14" t="str">
        <x:v>Marin@thanulux.com</x:v>
      </x:c>
      <x:c r="G74" s="13" t="str">
        <x:v>1KA00</x:v>
      </x:c>
      <x:c r="H74" s="14" t="str">
        <x:v>ผู้บริหาร</x:v>
      </x:c>
      <x:c r="I74" s="13" t="str">
        <x:v>1KA00</x:v>
      </x:c>
      <x:c r="J74" s="14" t="str"/>
      <x:c r="K74" s="13" t="str">
        <x:v>OF001</x:v>
      </x:c>
      <x:c r="L74" s="14" t="str">
        <x:v>Microsoft 365 Business Standard</x:v>
      </x:c>
    </x:row>
    <x:row r="75" ht="21" customHeight="1">
      <x:c r="A75" s="13" t="n">
        <x:v>71</x:v>
      </x:c>
      <x:c r="B75" s="13" t="str">
        <x:v>TA115</x:v>
      </x:c>
      <x:c r="C75" s="14" t="str">
        <x:v>จิตราภรณ์ เปลวเพลิง</x:v>
      </x:c>
      <x:c r="D75" s="14" t="str">
        <x:v>Jittraporn Plaewpleong</x:v>
      </x:c>
      <x:c r="E75" s="14" t="str">
        <x:v>แป้ง/ลาออก</x:v>
      </x:c>
      <x:c r="F75" s="14" t="str">
        <x:v>jittraporn_pl@thanulux.com</x:v>
      </x:c>
      <x:c r="G75" s="13" t="str">
        <x:v>L8111</x:v>
      </x:c>
      <x:c r="H75" s="14" t="str">
        <x:v>เครื่องหนัง GUY LAROCHE</x:v>
      </x:c>
      <x:c r="I75" s="13" t="str">
        <x:v>L8111</x:v>
      </x:c>
      <x:c r="J75" s="14" t="str">
        <x:v>ฝ่ายธุรกิจเครื่องหนังในประเทศ</x:v>
      </x:c>
      <x:c r="K75" s="13" t="str">
        <x:v>OF002</x:v>
      </x:c>
      <x:c r="L75" s="14" t="str">
        <x:v>Microsoft 365 Business Basic</x:v>
      </x:c>
    </x:row>
    <x:row r="76" ht="21" customHeight="1">
      <x:c r="A76" s="13" t="n">
        <x:v>72</x:v>
      </x:c>
      <x:c r="B76" s="13" t="str">
        <x:v>TA193</x:v>
      </x:c>
      <x:c r="C76" s="14" t="str">
        <x:v>นิศากร พลายงาม</x:v>
      </x:c>
      <x:c r="D76" s="14" t="str">
        <x:v>Nisakorn Phlayngam</x:v>
      </x:c>
      <x:c r="E76" s="14" t="str">
        <x:v>ก๊อฟ</x:v>
      </x:c>
      <x:c r="F76" s="14" t="str">
        <x:v>nisakorn_ph@thanulux.com</x:v>
      </x:c>
      <x:c r="G76" s="13" t="str">
        <x:v>L8111</x:v>
      </x:c>
      <x:c r="H76" s="14" t="str">
        <x:v>เครื่องหนัง GUY LAROCHE</x:v>
      </x:c>
      <x:c r="I76" s="13" t="str">
        <x:v>L8111</x:v>
      </x:c>
      <x:c r="J76" s="14" t="str">
        <x:v>ฝ่ายธุรกิจเครื่องหนังในประเทศ</x:v>
      </x:c>
      <x:c r="K76" s="13" t="str">
        <x:v>OF002</x:v>
      </x:c>
      <x:c r="L76" s="14" t="str">
        <x:v>Microsoft 365 Business Basic</x:v>
      </x:c>
    </x:row>
    <x:row r="77" ht="21" customHeight="1">
      <x:c r="A77" s="13" t="n">
        <x:v>73</x:v>
      </x:c>
      <x:c r="B77" s="13" t="str">
        <x:v>TA233</x:v>
      </x:c>
      <x:c r="C77" s="14" t="str">
        <x:v>ธัญชนก ทองปอน</x:v>
      </x:c>
      <x:c r="D77" s="14" t="str">
        <x:v>Thanchanok Tongpon</x:v>
      </x:c>
      <x:c r="E77" s="14" t="str">
        <x:v>นุ่น</x:v>
      </x:c>
      <x:c r="F77" s="14" t="str">
        <x:v>thanchanok_si@thanulux.com</x:v>
      </x:c>
      <x:c r="G77" s="13" t="str">
        <x:v>A8111</x:v>
      </x:c>
      <x:c r="H77" s="14" t="str">
        <x:v>ฝ่าย ARROW</x:v>
      </x:c>
      <x:c r="I77" s="13" t="str">
        <x:v>A8111</x:v>
      </x:c>
      <x:c r="J77" s="14" t="str">
        <x:v>ฝ่าย ARROW</x:v>
      </x:c>
      <x:c r="K77" s="13" t="str">
        <x:v>OF002</x:v>
      </x:c>
      <x:c r="L77" s="14" t="str">
        <x:v>Microsoft 365 Business Basic</x:v>
      </x:c>
    </x:row>
    <x:row r="78" ht="21" customHeight="1">
      <x:c r="A78" s="13" t="n">
        <x:v>74</x:v>
      </x:c>
      <x:c r="B78" s="13" t="str">
        <x:v>TA245</x:v>
      </x:c>
      <x:c r="C78" s="14" t="str">
        <x:v>ภัทราวรรณ เกตุลักษณ์</x:v>
      </x:c>
      <x:c r="D78" s="14" t="str">
        <x:v>Pattrawan Kettuluk</x:v>
      </x:c>
      <x:c r="E78" s="14" t="str">
        <x:v>แพร</x:v>
      </x:c>
      <x:c r="F78" s="14" t="str">
        <x:v>pattrawan_ke@thanulux.com</x:v>
      </x:c>
      <x:c r="G78" s="13" t="str">
        <x:v>2AM01</x:v>
      </x:c>
      <x:c r="H78" s="14" t="str">
        <x:v>แผนกบัญชี</x:v>
      </x:c>
      <x:c r="I78" s="13" t="str">
        <x:v>2AM01</x:v>
      </x:c>
      <x:c r="J78" s="14" t="str"/>
      <x:c r="K78" s="13" t="str">
        <x:v>OF001</x:v>
      </x:c>
      <x:c r="L78" s="14" t="str">
        <x:v>Microsoft 365 Business Standard</x:v>
      </x:c>
    </x:row>
    <x:row r="79" ht="21" customHeight="1">
      <x:c r="A79" s="13" t="n">
        <x:v>75</x:v>
      </x:c>
      <x:c r="B79" s="13" t="str">
        <x:v>TA250</x:v>
      </x:c>
      <x:c r="C79" s="14" t="str">
        <x:v>ธนัช ศรีพรหม</x:v>
      </x:c>
      <x:c r="D79" s="14" t="str">
        <x:v>Thanat Sriprom</x:v>
      </x:c>
      <x:c r="E79" s="14" t="str">
        <x:v>เบียร์</x:v>
      </x:c>
      <x:c r="F79" s="14" t="str">
        <x:v>thanat_sr@thanulux.com</x:v>
      </x:c>
      <x:c r="G79" s="13" t="str">
        <x:v>G8111</x:v>
      </x:c>
      <x:c r="H79" s="14" t="str">
        <x:v>ฝ่าย Guy Laroche</x:v>
      </x:c>
      <x:c r="I79" s="13" t="str">
        <x:v>G8111</x:v>
      </x:c>
      <x:c r="J79" s="14" t="str">
        <x:v>ฝ่าย Guy Laroche</x:v>
      </x:c>
      <x:c r="K79" s="13" t="str">
        <x:v>OF002</x:v>
      </x:c>
      <x:c r="L79" s="14" t="str">
        <x:v>Microsoft 365 Business Basic</x:v>
      </x:c>
    </x:row>
    <x:row r="80" ht="21" customHeight="1">
      <x:c r="A80" s="13" t="n">
        <x:v>76</x:v>
      </x:c>
      <x:c r="B80" s="13" t="str">
        <x:v>TA287</x:v>
      </x:c>
      <x:c r="C80" s="14" t="str">
        <x:v>ภัทรา เธียรนภาพรโชค</x:v>
      </x:c>
      <x:c r="D80" s="14" t="str">
        <x:v>Pattra Tiennapapornchok</x:v>
      </x:c>
      <x:c r="E80" s="14" t="str">
        <x:v>ภัทร์</x:v>
      </x:c>
      <x:c r="F80" s="14" t="str">
        <x:v>Pattra_ti@thanulux.com</x:v>
      </x:c>
      <x:c r="G80" s="13" t="str">
        <x:v>2AM01</x:v>
      </x:c>
      <x:c r="H80" s="14" t="str">
        <x:v>แผนกบัญชี</x:v>
      </x:c>
      <x:c r="I80" s="13" t="str">
        <x:v>2AM01</x:v>
      </x:c>
      <x:c r="J80" s="14" t="str"/>
      <x:c r="K80" s="13" t="str">
        <x:v>OF001</x:v>
      </x:c>
      <x:c r="L80" s="14" t="str">
        <x:v>Microsoft 365 Business Standard</x:v>
      </x:c>
    </x:row>
    <x:row r="81" ht="21" customHeight="1">
      <x:c r="A81" s="13" t="n">
        <x:v>77</x:v>
      </x:c>
      <x:c r="B81" s="13" t="str">
        <x:v>TA361</x:v>
      </x:c>
      <x:c r="C81" s="14" t="str">
        <x:v>ศิริกุล งอกเงย</x:v>
      </x:c>
      <x:c r="D81" s="14" t="str">
        <x:v>Sirikul Ngockngoei</x:v>
      </x:c>
      <x:c r="E81" s="14" t="str">
        <x:v>เอ/ลาออก</x:v>
      </x:c>
      <x:c r="F81" s="14" t="str">
        <x:v>sirikul_ng@thanulux.com</x:v>
      </x:c>
      <x:c r="G81" s="13" t="str">
        <x:v>L8111</x:v>
      </x:c>
      <x:c r="H81" s="14" t="str">
        <x:v>เครื่องหนัง GUY LAROCHE</x:v>
      </x:c>
      <x:c r="I81" s="13" t="str">
        <x:v>L8111</x:v>
      </x:c>
      <x:c r="J81" s="14" t="str">
        <x:v>ฝ่ายธุรกิจเครื่องหนังในประเทศ</x:v>
      </x:c>
      <x:c r="K81" s="13" t="str">
        <x:v>OF002</x:v>
      </x:c>
      <x:c r="L81" s="14" t="str">
        <x:v>Microsoft 365 Business Basic</x:v>
      </x:c>
    </x:row>
    <x:row r="82" ht="21" customHeight="1">
      <x:c r="A82" s="13" t="n">
        <x:v>78</x:v>
      </x:c>
      <x:c r="B82" s="13" t="str">
        <x:v>TA366</x:v>
      </x:c>
      <x:c r="C82" s="14" t="str">
        <x:v>มรกต วิทยะประสาท</x:v>
      </x:c>
      <x:c r="D82" s="14" t="str">
        <x:v>Morrakot Wittayaprasart</x:v>
      </x:c>
      <x:c r="E82" s="14" t="str">
        <x:v>เหมียว</x:v>
      </x:c>
      <x:c r="F82" s="14" t="str">
        <x:v>morrakot_wi@thanulux.com</x:v>
      </x:c>
      <x:c r="G82" s="13" t="str">
        <x:v>Y8111</x:v>
      </x:c>
      <x:c r="H82" s="14" t="str">
        <x:v>แผนก OLYMP</x:v>
      </x:c>
      <x:c r="I82" s="13" t="str">
        <x:v>Y8111</x:v>
      </x:c>
      <x:c r="J82" s="14" t="str"/>
      <x:c r="K82" s="13" t="str">
        <x:v>OF001</x:v>
      </x:c>
      <x:c r="L82" s="14" t="str">
        <x:v>Microsoft 365 Business Standard</x:v>
      </x:c>
    </x:row>
    <x:row r="83" ht="21" customHeight="1">
      <x:c r="A83" s="13" t="n">
        <x:v>79</x:v>
      </x:c>
      <x:c r="B83" s="13" t="str">
        <x:v>TA400</x:v>
      </x:c>
      <x:c r="C83" s="14" t="str">
        <x:v>กัญญาณัฐ ขุมทอง</x:v>
      </x:c>
      <x:c r="D83" s="14" t="str">
        <x:v>Kanyanut Khumthong</x:v>
      </x:c>
      <x:c r="E83" s="14" t="str">
        <x:v>เอิ้น</x:v>
      </x:c>
      <x:c r="F83" s="14" t="str">
        <x:v>kanyanut_kh@thanulux.com</x:v>
      </x:c>
      <x:c r="G83" s="13" t="str">
        <x:v>R8111</x:v>
      </x:c>
      <x:c r="H83" s="14" t="str">
        <x:v>ฝ่ายธุรกิจเครื่องหนัง EXPORT</x:v>
      </x:c>
      <x:c r="I83" s="13" t="str">
        <x:v>R8111</x:v>
      </x:c>
      <x:c r="J83" s="14" t="str">
        <x:v>ฝ่ายธุรกิจเครื่องหนัง EXPORT</x:v>
      </x:c>
      <x:c r="K83" s="13" t="str">
        <x:v>OF001</x:v>
      </x:c>
      <x:c r="L83" s="14" t="str">
        <x:v>Microsoft 365 Business Standard</x:v>
      </x:c>
    </x:row>
    <x:row r="84" ht="21" customHeight="1">
      <x:c r="A84" s="13" t="n">
        <x:v>80</x:v>
      </x:c>
      <x:c r="B84" s="13" t="str">
        <x:v>TA416</x:v>
      </x:c>
      <x:c r="C84" s="14" t="str">
        <x:v>นิสษา สอิ๊ดประเสริฐ</x:v>
      </x:c>
      <x:c r="D84" s="14" t="str">
        <x:v>Nissa Sareidprasert</x:v>
      </x:c>
      <x:c r="E84" s="14" t="str">
        <x:v>เอ</x:v>
      </x:c>
      <x:c r="F84" s="14" t="str">
        <x:v>Nissa_sa@thanulux.com</x:v>
      </x:c>
      <x:c r="G84" s="13" t="str">
        <x:v>A8111</x:v>
      </x:c>
      <x:c r="H84" s="14" t="str">
        <x:v>ฝ่าย ARROW</x:v>
      </x:c>
      <x:c r="I84" s="13" t="str">
        <x:v>A8111</x:v>
      </x:c>
      <x:c r="J84" s="14" t="str">
        <x:v>ฝ่าย ARROW</x:v>
      </x:c>
      <x:c r="K84" s="13" t="str">
        <x:v>OF002</x:v>
      </x:c>
      <x:c r="L84" s="14" t="str">
        <x:v>Microsoft 365 Business Basic</x:v>
      </x:c>
    </x:row>
    <x:row r="85" ht="21" customHeight="1">
      <x:c r="A85" s="13" t="n">
        <x:v>81</x:v>
      </x:c>
      <x:c r="B85" s="13" t="str">
        <x:v>TA423</x:v>
      </x:c>
      <x:c r="C85" s="14" t="str">
        <x:v>ชยาภรณ์ พยุงศักดิ์สกุล</x:v>
      </x:c>
      <x:c r="D85" s="14" t="str">
        <x:v>Chayaporn Payungsaksakul</x:v>
      </x:c>
      <x:c r="E85" s="14" t="str">
        <x:v>ปิงปิง</x:v>
      </x:c>
      <x:c r="F85" s="14" t="str">
        <x:v>Chayaporn_pa@thanulux.com</x:v>
      </x:c>
      <x:c r="G85" s="13" t="str">
        <x:v>R8111</x:v>
      </x:c>
      <x:c r="H85" s="14" t="str">
        <x:v>ฝ่ายธุรกิจเครื่องหนัง EXPORT</x:v>
      </x:c>
      <x:c r="I85" s="13" t="str">
        <x:v>R8111</x:v>
      </x:c>
      <x:c r="J85" s="14" t="str">
        <x:v>ฝ่ายธุรกิจเครื่องหนัง EXPORT</x:v>
      </x:c>
      <x:c r="K85" s="13" t="str">
        <x:v>OF001</x:v>
      </x:c>
      <x:c r="L85" s="14" t="str">
        <x:v>Microsoft 365 Business Standard</x:v>
      </x:c>
    </x:row>
    <x:row r="86" ht="21" customHeight="1">
      <x:c r="A86" s="13" t="n">
        <x:v>82</x:v>
      </x:c>
      <x:c r="B86" s="13" t="str">
        <x:v>TA445</x:v>
      </x:c>
      <x:c r="C86" s="14" t="str">
        <x:v>สุธิตา สุทธิสอาด</x:v>
      </x:c>
      <x:c r="D86" s="14" t="str">
        <x:v>Suthita Sutthisaard</x:v>
      </x:c>
      <x:c r="E86" s="14" t="str">
        <x:v>มิกกี้</x:v>
      </x:c>
      <x:c r="F86" s="14" t="str">
        <x:v>Suthita_su@thanulux.com</x:v>
      </x:c>
      <x:c r="G86" s="13" t="str">
        <x:v>R8111</x:v>
      </x:c>
      <x:c r="H86" s="14" t="str">
        <x:v>ฝ่ายธุรกิจเครื่องหนัง EXPORT</x:v>
      </x:c>
      <x:c r="I86" s="13" t="str">
        <x:v>R8111</x:v>
      </x:c>
      <x:c r="J86" s="14" t="str">
        <x:v>ฝ่ายธุรกิจเครื่องหนัง EXPORT</x:v>
      </x:c>
      <x:c r="K86" s="13" t="str">
        <x:v>OF001</x:v>
      </x:c>
      <x:c r="L86" s="14" t="str">
        <x:v>Microsoft 365 Business Standard</x:v>
      </x:c>
    </x:row>
    <x:row r="87" ht="21" customHeight="1">
      <x:c r="A87" s="13" t="n">
        <x:v>83</x:v>
      </x:c>
      <x:c r="B87" s="13" t="str">
        <x:v>TA446</x:v>
      </x:c>
      <x:c r="C87" s="14" t="str">
        <x:v>ชุตาภรณ์ เข็มราช</x:v>
      </x:c>
      <x:c r="D87" s="14" t="str">
        <x:v>chutaporn Khemrach</x:v>
      </x:c>
      <x:c r="E87" s="14" t="str">
        <x:v>ป่าน</x:v>
      </x:c>
      <x:c r="F87" s="14" t="str">
        <x:v>chutaporn_kh@thanulux.com</x:v>
      </x:c>
      <x:c r="G87" s="13" t="str">
        <x:v>A8111</x:v>
      </x:c>
      <x:c r="H87" s="14" t="str">
        <x:v>ฝ่าย ARROW</x:v>
      </x:c>
      <x:c r="I87" s="13" t="str">
        <x:v>A8111</x:v>
      </x:c>
      <x:c r="J87" s="14" t="str">
        <x:v>ฝ่าย ARROW</x:v>
      </x:c>
      <x:c r="K87" s="13" t="str">
        <x:v>OF002</x:v>
      </x:c>
      <x:c r="L87" s="14" t="str">
        <x:v>Microsoft 365 Business Basic</x:v>
      </x:c>
    </x:row>
    <x:row r="88" ht="21" customHeight="1">
      <x:c r="A88" s="13" t="n">
        <x:v>84</x:v>
      </x:c>
      <x:c r="B88" s="13" t="str">
        <x:v>TA450</x:v>
      </x:c>
      <x:c r="C88" s="14" t="str">
        <x:v>บุณยทิยพ์ หวู</x:v>
      </x:c>
      <x:c r="D88" s="14" t="str">
        <x:v>Boonyathip Wu</x:v>
      </x:c>
      <x:c r="E88" s="14" t="str">
        <x:v>ครีม/ลาออก</x:v>
      </x:c>
      <x:c r="F88" s="14" t="str">
        <x:v>Boonyathip_wu@thanulux.com</x:v>
      </x:c>
      <x:c r="G88" s="13" t="str">
        <x:v>A8111</x:v>
      </x:c>
      <x:c r="H88" s="14" t="str">
        <x:v>ฝ่าย ARROW</x:v>
      </x:c>
      <x:c r="I88" s="13" t="str">
        <x:v>A8111</x:v>
      </x:c>
      <x:c r="J88" s="14" t="str">
        <x:v>ฝ่าย ARROW</x:v>
      </x:c>
      <x:c r="K88" s="13" t="str">
        <x:v>OF002</x:v>
      </x:c>
      <x:c r="L88" s="14" t="str">
        <x:v>Microsoft 365 Business Basic</x:v>
      </x:c>
    </x:row>
    <x:row r="89" ht="21" customHeight="1">
      <x:c r="A89" s="13" t="n">
        <x:v>85</x:v>
      </x:c>
      <x:c r="B89" s="13" t="str">
        <x:v>TA451</x:v>
      </x:c>
      <x:c r="C89" s="14" t="str">
        <x:v>ณัฐณิชาช์ หาญยุทธ</x:v>
      </x:c>
      <x:c r="D89" s="14" t="str">
        <x:v>Natnicha Hanyut</x:v>
      </x:c>
      <x:c r="E89" s="14" t="str">
        <x:v>โพย/ลาออก</x:v>
      </x:c>
      <x:c r="F89" s="14" t="str">
        <x:v>natnicha_ha@thanulux.com</x:v>
      </x:c>
      <x:c r="G89" s="13" t="str">
        <x:v>H8111</x:v>
      </x:c>
      <x:c r="H89" s="14" t="str">
        <x:v>House Brand</x:v>
      </x:c>
      <x:c r="I89" s="13" t="str">
        <x:v>H8111</x:v>
      </x:c>
      <x:c r="J89" s="14" t="str"/>
      <x:c r="K89" s="13" t="str">
        <x:v>OF002</x:v>
      </x:c>
      <x:c r="L89" s="14" t="str">
        <x:v>Microsoft 365 Business Basic</x:v>
      </x:c>
    </x:row>
    <x:row r="90" ht="21" customHeight="1">
      <x:c r="A90" s="13" t="n">
        <x:v>86</x:v>
      </x:c>
      <x:c r="B90" s="13" t="str">
        <x:v>TA453</x:v>
      </x:c>
      <x:c r="C90" s="14" t="str">
        <x:v>ชนิตา พานิชเจริญ</x:v>
      </x:c>
      <x:c r="D90" s="14" t="str">
        <x:v>Chanita Panicharoen</x:v>
      </x:c>
      <x:c r="E90" s="14" t="str">
        <x:v>นุ่น</x:v>
      </x:c>
      <x:c r="F90" s="14" t="str">
        <x:v>chanita_pa@thanulux.com</x:v>
      </x:c>
      <x:c r="G90" s="13" t="str">
        <x:v>G8111</x:v>
      </x:c>
      <x:c r="H90" s="14" t="str">
        <x:v>ฝ่าย Guy Laroche</x:v>
      </x:c>
      <x:c r="I90" s="13" t="str">
        <x:v>G8111</x:v>
      </x:c>
      <x:c r="J90" s="14" t="str">
        <x:v>ฝ่าย Guy Laroche</x:v>
      </x:c>
      <x:c r="K90" s="13" t="str">
        <x:v>OF002</x:v>
      </x:c>
      <x:c r="L90" s="14" t="str">
        <x:v>Microsoft 365 Business Basic</x:v>
      </x:c>
    </x:row>
    <x:row r="91" ht="21" customHeight="1">
      <x:c r="A91" s="13" t="n">
        <x:v>87</x:v>
      </x:c>
      <x:c r="B91" s="13" t="str">
        <x:v>TA469</x:v>
      </x:c>
      <x:c r="C91" s="14" t="str">
        <x:v>ธนะวินทร์ ธนนท์จิรานันท์</x:v>
      </x:c>
      <x:c r="D91" s="14" t="str">
        <x:v>Thanawin Thanontjiranan</x:v>
      </x:c>
      <x:c r="E91" s="14" t="str">
        <x:v>เอก</x:v>
      </x:c>
      <x:c r="F91" s="14" t="str">
        <x:v>thanawin_th@thanulux.com</x:v>
      </x:c>
      <x:c r="G91" s="13" t="str">
        <x:v>A8111</x:v>
      </x:c>
      <x:c r="H91" s="14" t="str">
        <x:v>ฝ่าย ARROW</x:v>
      </x:c>
      <x:c r="I91" s="13" t="str">
        <x:v>A8111</x:v>
      </x:c>
      <x:c r="J91" s="14" t="str">
        <x:v>ฝ่าย ARROW</x:v>
      </x:c>
      <x:c r="K91" s="13" t="str">
        <x:v>OF002</x:v>
      </x:c>
      <x:c r="L91" s="14" t="str">
        <x:v>Microsoft 365 Business Basic</x:v>
      </x:c>
    </x:row>
    <x:row r="92" ht="21" customHeight="1">
      <x:c r="A92" s="13" t="n">
        <x:v>88</x:v>
      </x:c>
      <x:c r="B92" s="13" t="str">
        <x:v>TA472</x:v>
      </x:c>
      <x:c r="C92" s="14" t="str">
        <x:v>บุญฑริกา ปุริเส</x:v>
      </x:c>
      <x:c r="D92" s="14" t="str">
        <x:v>Buntharika</x:v>
      </x:c>
      <x:c r="E92" s="14" t="str">
        <x:v>เล็ก/ลาออก</x:v>
      </x:c>
      <x:c r="F92" s="14" t="str">
        <x:v>buntharika_pur@thanulux.com</x:v>
      </x:c>
      <x:c r="G92" s="13" t="str">
        <x:v>L8111</x:v>
      </x:c>
      <x:c r="H92" s="14" t="str">
        <x:v>เครื่องหนัง GUY LAROCHE</x:v>
      </x:c>
      <x:c r="I92" s="13" t="str">
        <x:v>L8111</x:v>
      </x:c>
      <x:c r="J92" s="14" t="str">
        <x:v>ฝ่ายธุรกิจเครื่องหนังในประเทศ</x:v>
      </x:c>
      <x:c r="K92" s="13" t="str">
        <x:v>OF002</x:v>
      </x:c>
      <x:c r="L92" s="14" t="str">
        <x:v>Microsoft 365 Business Basic</x:v>
      </x:c>
    </x:row>
    <x:row r="93" ht="21" customHeight="1">
      <x:c r="A93" s="13" t="n">
        <x:v>89</x:v>
      </x:c>
      <x:c r="B93" s="13" t="str">
        <x:v>TA473</x:v>
      </x:c>
      <x:c r="C93" s="14" t="str">
        <x:v>วัฒน์ชานนท์ วัฒนสิทธิ์กุล</x:v>
      </x:c>
      <x:c r="D93" s="14" t="str">
        <x:v>watchanon_wat</x:v>
      </x:c>
      <x:c r="E93" s="14" t="str">
        <x:v>เท็น</x:v>
      </x:c>
      <x:c r="F93" s="14" t="str">
        <x:v>watchanon_wat@thanulux.com</x:v>
      </x:c>
      <x:c r="G93" s="13" t="str">
        <x:v>A8111</x:v>
      </x:c>
      <x:c r="H93" s="14" t="str">
        <x:v>ฝ่าย ARROW</x:v>
      </x:c>
      <x:c r="I93" s="13" t="str">
        <x:v>A8111</x:v>
      </x:c>
      <x:c r="J93" s="14" t="str">
        <x:v>ฝ่าย ARROW</x:v>
      </x:c>
      <x:c r="K93" s="13" t="str">
        <x:v>OF002</x:v>
      </x:c>
      <x:c r="L93" s="14" t="str">
        <x:v>Microsoft 365 Business Basic</x:v>
      </x:c>
    </x:row>
    <x:row r="94" ht="21" customHeight="1">
      <x:c r="A94" s="13" t="n">
        <x:v>90</x:v>
      </x:c>
      <x:c r="B94" s="13" t="str">
        <x:v>TA474</x:v>
      </x:c>
      <x:c r="C94" s="14" t="str">
        <x:v>ระพีพรรณ์ ธรรมมิยะ</x:v>
      </x:c>
      <x:c r="D94" s="14" t="str">
        <x:v>Rapeephan_th</x:v>
      </x:c>
      <x:c r="E94" s="14" t="str">
        <x:v>ป๋อม</x:v>
      </x:c>
      <x:c r="F94" s="14" t="str">
        <x:v>rapeephan_th@thanulux.com</x:v>
      </x:c>
      <x:c r="G94" s="13" t="str">
        <x:v>G8111</x:v>
      </x:c>
      <x:c r="H94" s="14" t="str">
        <x:v>ฝ่าย Guy Laroche</x:v>
      </x:c>
      <x:c r="I94" s="13" t="str">
        <x:v>G8111</x:v>
      </x:c>
      <x:c r="J94" s="14" t="str">
        <x:v>ฝ่าย Guy Laroche</x:v>
      </x:c>
      <x:c r="K94" s="13" t="str">
        <x:v>OF002</x:v>
      </x:c>
      <x:c r="L94" s="14" t="str">
        <x:v>Microsoft 365 Business Basic</x:v>
      </x:c>
    </x:row>
    <x:row r="95" ht="21" customHeight="1">
      <x:c r="A95" s="13" t="n">
        <x:v>91</x:v>
      </x:c>
      <x:c r="B95" s="13" t="str">
        <x:v>TA475</x:v>
      </x:c>
      <x:c r="C95" s="14" t="str">
        <x:v>จันทิมา แก้วพลอย</x:v>
      </x:c>
      <x:c r="D95" s="14" t="str">
        <x:v>jantima.kae</x:v>
      </x:c>
      <x:c r="E95" s="14" t="str">
        <x:v>ตุ๊กตา</x:v>
      </x:c>
      <x:c r="F95" s="14" t="str">
        <x:v>jantima.kae@thanulux.com</x:v>
      </x:c>
      <x:c r="G95" s="13" t="str">
        <x:v>A8111</x:v>
      </x:c>
      <x:c r="H95" s="14" t="str">
        <x:v>ฝ่าย ARROW</x:v>
      </x:c>
      <x:c r="I95" s="13" t="str">
        <x:v>A8111</x:v>
      </x:c>
      <x:c r="J95" s="14" t="str">
        <x:v>ฝ่าย ARROW</x:v>
      </x:c>
      <x:c r="K95" s="13" t="str">
        <x:v>OF002</x:v>
      </x:c>
      <x:c r="L95" s="14" t="str">
        <x:v>Microsoft 365 Business Basic</x:v>
      </x:c>
    </x:row>
    <x:row r="96" ht="21" customHeight="1">
      <x:c r="A96" s="13" t="n">
        <x:v>92</x:v>
      </x:c>
      <x:c r="B96" s="13" t="str">
        <x:v>TA476</x:v>
      </x:c>
      <x:c r="C96" s="14" t="str">
        <x:v>ดารณี ไอศุริยวงศ์</x:v>
      </x:c>
      <x:c r="D96" s="14" t="str">
        <x:v>Daranee Isuriyawong</x:v>
      </x:c>
      <x:c r="E96" s="14" t="str">
        <x:v>หญิง</x:v>
      </x:c>
      <x:c r="F96" s="14" t="str">
        <x:v>daranee.isu@thanulux.com</x:v>
      </x:c>
      <x:c r="G96" s="13" t="str">
        <x:v>A8111</x:v>
      </x:c>
      <x:c r="H96" s="14" t="str">
        <x:v>ฝ่าย ARROW</x:v>
      </x:c>
      <x:c r="I96" s="13" t="str">
        <x:v>A8111</x:v>
      </x:c>
      <x:c r="J96" s="14" t="str">
        <x:v>ฝ่าย ARROW</x:v>
      </x:c>
      <x:c r="K96" s="13" t="str">
        <x:v>OF002</x:v>
      </x:c>
      <x:c r="L96" s="14" t="str">
        <x:v>Microsoft 365 Business Basic</x:v>
      </x:c>
    </x:row>
    <x:row r="97" ht="21" customHeight="1">
      <x:c r="A97" s="13" t="n">
        <x:v>93</x:v>
      </x:c>
      <x:c r="B97" s="13" t="str">
        <x:v>TA479</x:v>
      </x:c>
      <x:c r="C97" s="14" t="str">
        <x:v>สนธยา ศรีไทยวัฒนา</x:v>
      </x:c>
      <x:c r="D97" s="14" t="str">
        <x:v>Sonthaya Srithaiwattana</x:v>
      </x:c>
      <x:c r="E97" s="14" t="str">
        <x:v>เจี๊ยบ</x:v>
      </x:c>
      <x:c r="F97" s="14" t="str">
        <x:v>sonthaya_sr@thanulux.com</x:v>
      </x:c>
      <x:c r="G97" s="13" t="str">
        <x:v>L8111</x:v>
      </x:c>
      <x:c r="H97" s="14" t="str">
        <x:v>เครื่องหนัง GUY LAROCHE</x:v>
      </x:c>
      <x:c r="I97" s="13" t="str">
        <x:v>L8111</x:v>
      </x:c>
      <x:c r="J97" s="14" t="str">
        <x:v>ฝ่ายธุรกิจเครื่องหนังในประเทศ</x:v>
      </x:c>
      <x:c r="K97" s="13" t="str">
        <x:v>OF002</x:v>
      </x:c>
      <x:c r="L97" s="14" t="str">
        <x:v>Microsoft 365 Business Basic</x:v>
      </x:c>
    </x:row>
    <x:row r="98" ht="21" customHeight="1">
      <x:c r="A98" s="13" t="n">
        <x:v>94</x:v>
      </x:c>
      <x:c r="B98" s="13" t="str">
        <x:v>TA480</x:v>
      </x:c>
      <x:c r="C98" s="14" t="str">
        <x:v>ณัฐสุดา เปี่ยมขำดี</x:v>
      </x:c>
      <x:c r="D98" s="14" t="str">
        <x:v>nutsuda_pe</x:v>
      </x:c>
      <x:c r="E98" s="14" t="str">
        <x:v>ตาล</x:v>
      </x:c>
      <x:c r="F98" s="14" t="str">
        <x:v>nutsuda_pe@thanulux.com</x:v>
      </x:c>
      <x:c r="G98" s="13" t="str">
        <x:v>A8111</x:v>
      </x:c>
      <x:c r="H98" s="14" t="str">
        <x:v>ฝ่าย ARROW</x:v>
      </x:c>
      <x:c r="I98" s="13" t="str">
        <x:v>A8111</x:v>
      </x:c>
      <x:c r="J98" s="14" t="str">
        <x:v>ฝ่าย ARROW</x:v>
      </x:c>
      <x:c r="K98" s="13" t="str">
        <x:v>OF002</x:v>
      </x:c>
      <x:c r="L98" s="14" t="str">
        <x:v>Microsoft 365 Business Basic</x:v>
      </x:c>
    </x:row>
    <x:row r="99" ht="21" customHeight="1">
      <x:c r="A99" s="13" t="n">
        <x:v>95</x:v>
      </x:c>
      <x:c r="B99" s="13" t="str">
        <x:v>TA483</x:v>
      </x:c>
      <x:c r="C99" s="14" t="str">
        <x:v>คทายุทธ์ บุญสุข</x:v>
      </x:c>
      <x:c r="D99" s="14" t="str">
        <x:v>Katayut Bonsuk</x:v>
      </x:c>
      <x:c r="E99" s="14" t="str">
        <x:v>ยุทธ</x:v>
      </x:c>
      <x:c r="F99" s="14" t="str">
        <x:v>katayut_bo@thanulux.com</x:v>
      </x:c>
      <x:c r="G99" s="13" t="str">
        <x:v>A8111</x:v>
      </x:c>
      <x:c r="H99" s="14" t="str">
        <x:v>ฝ่าย ARROW</x:v>
      </x:c>
      <x:c r="I99" s="13" t="str">
        <x:v>A8111</x:v>
      </x:c>
      <x:c r="J99" s="14" t="str">
        <x:v>ฝ่าย ARROW</x:v>
      </x:c>
      <x:c r="K99" s="13" t="str">
        <x:v>OF002</x:v>
      </x:c>
      <x:c r="L99" s="14" t="str">
        <x:v>Microsoft 365 Business Basic</x:v>
      </x:c>
    </x:row>
    <x:row r="100" ht="21" customHeight="1">
      <x:c r="A100" s="13" t="n">
        <x:v>96</x:v>
      </x:c>
      <x:c r="B100" s="13" t="str">
        <x:v>TA486</x:v>
      </x:c>
      <x:c r="C100" s="14" t="str">
        <x:v>ทักษอร สันทศนะสุวรรณ</x:v>
      </x:c>
      <x:c r="D100" s="14" t="str">
        <x:v>Taksaon Santasanasuwan</x:v>
      </x:c>
      <x:c r="E100" s="14" t="str">
        <x:v>โบว์</x:v>
      </x:c>
      <x:c r="F100" s="14" t="str">
        <x:v>taksaon.san@thanulux.com</x:v>
      </x:c>
      <x:c r="G100" s="13" t="str">
        <x:v>A8111</x:v>
      </x:c>
      <x:c r="H100" s="14" t="str">
        <x:v>ฝ่าย ARROW</x:v>
      </x:c>
      <x:c r="I100" s="13" t="str">
        <x:v>A8111</x:v>
      </x:c>
      <x:c r="J100" s="14" t="str">
        <x:v>ฝ่าย ARROW</x:v>
      </x:c>
      <x:c r="K100" s="13" t="str">
        <x:v>OF002</x:v>
      </x:c>
      <x:c r="L100" s="14" t="str">
        <x:v>Microsoft 365 Business Basic</x:v>
      </x:c>
    </x:row>
    <x:row r="101" ht="21" customHeight="1">
      <x:c r="A101" s="13" t="n">
        <x:v>97</x:v>
      </x:c>
      <x:c r="B101" s="13" t="str">
        <x:v>TA488</x:v>
      </x:c>
      <x:c r="C101" s="14" t="str">
        <x:v>กิตติศักดิ์ จินากุล</x:v>
      </x:c>
      <x:c r="D101" s="14" t="str">
        <x:v>Kittisak Jinnakul</x:v>
      </x:c>
      <x:c r="E101" s="14" t="str">
        <x:v>เบิร์ด</x:v>
      </x:c>
      <x:c r="F101" s="14" t="str">
        <x:v>kittisak_ji@thanulux.com</x:v>
      </x:c>
      <x:c r="G101" s="13" t="str">
        <x:v>G8111</x:v>
      </x:c>
      <x:c r="H101" s="14" t="str">
        <x:v>ฝ่าย Guy Laroche</x:v>
      </x:c>
      <x:c r="I101" s="13" t="str">
        <x:v>G8111</x:v>
      </x:c>
      <x:c r="J101" s="14" t="str">
        <x:v>ฝ่าย Guy Laroche</x:v>
      </x:c>
      <x:c r="K101" s="13" t="str">
        <x:v>OF002</x:v>
      </x:c>
      <x:c r="L101" s="14" t="str">
        <x:v>Microsoft 365 Business Basic</x:v>
      </x:c>
    </x:row>
    <x:row r="102" ht="21" customHeight="1">
      <x:c r="A102" s="13" t="n">
        <x:v>98</x:v>
      </x:c>
      <x:c r="B102" s="13" t="str">
        <x:v>TA494</x:v>
      </x:c>
      <x:c r="C102" s="14" t="str">
        <x:v>นันทวรรณ วงศ์จิรภาส</x:v>
      </x:c>
      <x:c r="D102" s="14" t="str">
        <x:v>Nantawan Vongjirapas</x:v>
      </x:c>
      <x:c r="E102" s="14" t="str">
        <x:v>อร</x:v>
      </x:c>
      <x:c r="F102" s="14" t="str">
        <x:v>nantawan_vo@thanulux.com</x:v>
      </x:c>
      <x:c r="G102" s="13" t="str">
        <x:v>R8111</x:v>
      </x:c>
      <x:c r="H102" s="14" t="str">
        <x:v>ฝ่ายธุรกิจเครื่องหนัง EXPORT</x:v>
      </x:c>
      <x:c r="I102" s="13" t="str">
        <x:v>R8111</x:v>
      </x:c>
      <x:c r="J102" s="14" t="str">
        <x:v>ฝ่ายธุรกิจเครื่องหนัง EXPORT</x:v>
      </x:c>
      <x:c r="K102" s="13" t="str">
        <x:v>OF001</x:v>
      </x:c>
      <x:c r="L102" s="14" t="str">
        <x:v>Microsoft 365 Business Standard</x:v>
      </x:c>
    </x:row>
    <x:row r="103" ht="21" customHeight="1">
      <x:c r="A103" s="13" t="n">
        <x:v>99</x:v>
      </x:c>
      <x:c r="B103" s="13" t="str">
        <x:v>TA498</x:v>
      </x:c>
      <x:c r="C103" s="14" t="str">
        <x:v>ทัตเทพ ตรีมงคล</x:v>
      </x:c>
      <x:c r="D103" s="14" t="str">
        <x:v>Thatthep Tremongkon</x:v>
      </x:c>
      <x:c r="E103" s="14" t="str">
        <x:v>เทอร์โบ</x:v>
      </x:c>
      <x:c r="F103" s="14" t="str">
        <x:v>thatthep_tr@thanulux.com</x:v>
      </x:c>
      <x:c r="G103" s="13" t="str">
        <x:v>2AM04</x:v>
      </x:c>
      <x:c r="H103" s="14" t="str">
        <x:v>ฝ่าย IT</x:v>
      </x:c>
      <x:c r="I103" s="13" t="str">
        <x:v>2AM04</x:v>
      </x:c>
      <x:c r="J103" s="14" t="str">
        <x:v>ฝ่าย IT</x:v>
      </x:c>
      <x:c r="K103" s="13" t="str">
        <x:v>OF002</x:v>
      </x:c>
      <x:c r="L103" s="14" t="str">
        <x:v>Microsoft 365 Business Basic</x:v>
      </x:c>
    </x:row>
    <x:row r="104" ht="21" customHeight="1">
      <x:c r="A104" s="13" t="n">
        <x:v>100</x:v>
      </x:c>
      <x:c r="B104" s="13" t="str">
        <x:v>TA500</x:v>
      </x:c>
      <x:c r="C104" s="14" t="str">
        <x:v>นุจนาฏ ปรองพิมาย</x:v>
      </x:c>
      <x:c r="D104" s="14" t="str">
        <x:v>Nudjanart Prongpimai</x:v>
      </x:c>
      <x:c r="E104" s="14" t="str">
        <x:v>อั้ม</x:v>
      </x:c>
      <x:c r="F104" s="14" t="str">
        <x:v>nudjanart_pro@thanulux.com</x:v>
      </x:c>
      <x:c r="G104" s="13" t="str">
        <x:v>A8111</x:v>
      </x:c>
      <x:c r="H104" s="14" t="str">
        <x:v>ฝ่าย ARROW</x:v>
      </x:c>
      <x:c r="I104" s="13" t="str">
        <x:v>A8111</x:v>
      </x:c>
      <x:c r="J104" s="14" t="str">
        <x:v>ฝ่าย ARROW</x:v>
      </x:c>
      <x:c r="K104" s="13" t="str">
        <x:v>OF002</x:v>
      </x:c>
      <x:c r="L104" s="14" t="str">
        <x:v>Microsoft 365 Business Basic</x:v>
      </x:c>
    </x:row>
    <x:row r="105" ht="21" customHeight="1">
      <x:c r="A105" s="13" t="n">
        <x:v>101</x:v>
      </x:c>
      <x:c r="B105" s="13" t="str">
        <x:v>TA501</x:v>
      </x:c>
      <x:c r="C105" s="14" t="str">
        <x:v>สุนิสา แก้วอุดม</x:v>
      </x:c>
      <x:c r="D105" s="14" t="str">
        <x:v>Sunisa Kaewudom</x:v>
      </x:c>
      <x:c r="E105" s="14" t="str">
        <x:v>ตุ๊กติ๊ก</x:v>
      </x:c>
      <x:c r="F105" s="14" t="str">
        <x:v>sunisa_ka@thanulux.com</x:v>
      </x:c>
      <x:c r="G105" s="13" t="str">
        <x:v>G8111</x:v>
      </x:c>
      <x:c r="H105" s="14" t="str">
        <x:v>ฝ่าย Guy Laroche</x:v>
      </x:c>
      <x:c r="I105" s="13" t="str">
        <x:v>G8111</x:v>
      </x:c>
      <x:c r="J105" s="14" t="str">
        <x:v>ฝ่าย Guy Laroche</x:v>
      </x:c>
      <x:c r="K105" s="13" t="str">
        <x:v>OF002</x:v>
      </x:c>
      <x:c r="L105" s="14" t="str">
        <x:v>Microsoft 365 Business Basic</x:v>
      </x:c>
    </x:row>
    <x:row r="106" ht="21" customHeight="1">
      <x:c r="A106" s="13" t="n">
        <x:v>102</x:v>
      </x:c>
      <x:c r="B106" s="13" t="str">
        <x:v>TA502</x:v>
      </x:c>
      <x:c r="C106" s="14" t="str">
        <x:v>พิชัย มาตุภูมานนท์</x:v>
      </x:c>
      <x:c r="D106" s="14" t="str">
        <x:v>Pichai Matupumanon</x:v>
      </x:c>
      <x:c r="E106" s="14" t="str">
        <x:v>พอร์ช/ลาออก</x:v>
      </x:c>
      <x:c r="F106" s="14" t="str">
        <x:v>pichai_ma@thanulux.com</x:v>
      </x:c>
      <x:c r="G106" s="13" t="str">
        <x:v>A8111</x:v>
      </x:c>
      <x:c r="H106" s="14" t="str">
        <x:v>ฝ่าย ARROW</x:v>
      </x:c>
      <x:c r="I106" s="13" t="str">
        <x:v>A8111</x:v>
      </x:c>
      <x:c r="J106" s="14" t="str">
        <x:v>ฝ่าย ARROW</x:v>
      </x:c>
      <x:c r="K106" s="13" t="str">
        <x:v>OF002</x:v>
      </x:c>
      <x:c r="L106" s="14" t="str">
        <x:v>Microsoft 365 Business Basic</x:v>
      </x:c>
    </x:row>
    <x:row r="107" ht="21" customHeight="1">
      <x:c r="A107" s="13" t="n">
        <x:v>103</x:v>
      </x:c>
      <x:c r="B107" s="13" t="str">
        <x:v>TA505</x:v>
      </x:c>
      <x:c r="C107" s="14" t="str">
        <x:v>ณัฐกาญจน์ ทวีรติธรรม</x:v>
      </x:c>
      <x:c r="D107" s="14" t="str">
        <x:v>Nattakarn Taweeratitham</x:v>
      </x:c>
      <x:c r="E107" s="14" t="str">
        <x:v>หมวย/ลาออก</x:v>
      </x:c>
      <x:c r="F107" s="14" t="str">
        <x:v>nattakarn_ta@thanulux.com</x:v>
      </x:c>
      <x:c r="G107" s="13" t="str">
        <x:v>A8111</x:v>
      </x:c>
      <x:c r="H107" s="14" t="str">
        <x:v>ฝ่าย ARROW</x:v>
      </x:c>
      <x:c r="I107" s="13" t="str">
        <x:v>A8111</x:v>
      </x:c>
      <x:c r="J107" s="14" t="str">
        <x:v>ฝ่าย ARROW</x:v>
      </x:c>
      <x:c r="K107" s="13" t="str">
        <x:v>OF002</x:v>
      </x:c>
      <x:c r="L107" s="14" t="str">
        <x:v>Microsoft 365 Business Basic</x:v>
      </x:c>
    </x:row>
    <x:row r="108" ht="21" customHeight="1">
      <x:c r="A108" s="13" t="n">
        <x:v>104</x:v>
      </x:c>
      <x:c r="B108" s="13" t="str">
        <x:v>TA507</x:v>
      </x:c>
      <x:c r="C108" s="14" t="str">
        <x:v>บดี นาถนิติธาดา</x:v>
      </x:c>
      <x:c r="D108" s="14" t="str">
        <x:v>Bordee Natnititada</x:v>
      </x:c>
      <x:c r="E108" s="14" t="str">
        <x:v>ฟู/ลาออก</x:v>
      </x:c>
      <x:c r="F108" s="14" t="str">
        <x:v>bordee_na@thanulux.com</x:v>
      </x:c>
      <x:c r="G108" s="13" t="str">
        <x:v>A8111</x:v>
      </x:c>
      <x:c r="H108" s="14" t="str">
        <x:v>ฝ่าย ARROW</x:v>
      </x:c>
      <x:c r="I108" s="13" t="str">
        <x:v>A8111</x:v>
      </x:c>
      <x:c r="J108" s="14" t="str">
        <x:v>ฝ่าย ARROW</x:v>
      </x:c>
      <x:c r="K108" s="13" t="str">
        <x:v>OF002</x:v>
      </x:c>
      <x:c r="L108" s="14" t="str">
        <x:v>Microsoft 365 Business Basic</x:v>
      </x:c>
    </x:row>
    <x:row r="109" ht="21" customHeight="1">
      <x:c r="A109" s="13" t="n">
        <x:v>105</x:v>
      </x:c>
      <x:c r="B109" s="13" t="str">
        <x:v>TA515</x:v>
      </x:c>
      <x:c r="C109" s="14" t="str">
        <x:v>เศรษฐวัจน์ หงษ์เทศ</x:v>
      </x:c>
      <x:c r="D109" s="14" t="str">
        <x:v>Setthawat Hongted</x:v>
      </x:c>
      <x:c r="E109" s="14" t="str">
        <x:v>แบงค์</x:v>
      </x:c>
      <x:c r="F109" s="14" t="str">
        <x:v>setthawat_ho@thanulux.com</x:v>
      </x:c>
      <x:c r="G109" s="13" t="str">
        <x:v>A8111</x:v>
      </x:c>
      <x:c r="H109" s="14" t="str">
        <x:v>ฝ่าย ARROW</x:v>
      </x:c>
      <x:c r="I109" s="13" t="str">
        <x:v>A8111</x:v>
      </x:c>
      <x:c r="J109" s="14" t="str">
        <x:v>ฝ่าย ARROW</x:v>
      </x:c>
      <x:c r="K109" s="13" t="str">
        <x:v>OF002</x:v>
      </x:c>
      <x:c r="L109" s="14" t="str">
        <x:v>Microsoft 365 Business Basic</x:v>
      </x:c>
    </x:row>
    <x:row r="110" ht="21" customHeight="1">
      <x:c r="A110" s="13" t="n">
        <x:v>106</x:v>
      </x:c>
      <x:c r="B110" s="13" t="str">
        <x:v>TA909</x:v>
      </x:c>
      <x:c r="C110" s="14" t="str">
        <x:v>วีกูล ชื่นใจดี</x:v>
      </x:c>
      <x:c r="D110" s="14" t="str">
        <x:v>Weegul Chuenjaidee</x:v>
      </x:c>
      <x:c r="E110" s="14" t="str">
        <x:v>แบงค์</x:v>
      </x:c>
      <x:c r="F110" s="14" t="str">
        <x:v>Weegul_ch@thanulux.com</x:v>
      </x:c>
      <x:c r="G110" s="13" t="str">
        <x:v>2AM05</x:v>
      </x:c>
      <x:c r="H110" s="14" t="str">
        <x:v>แผนกตรวจสอบภายใน</x:v>
      </x:c>
      <x:c r="I110" s="13" t="str">
        <x:v>2AM05</x:v>
      </x:c>
      <x:c r="J110" s="14" t="str"/>
      <x:c r="K110" s="13" t="str">
        <x:v>OF001</x:v>
      </x:c>
      <x:c r="L110" s="14" t="str">
        <x:v>Microsoft 365 Business Standard</x:v>
      </x:c>
    </x:row>
    <x:row r="111" ht="21" customHeight="1">
      <x:c r="A111" s="13" t="n">
        <x:v>107</x:v>
      </x:c>
      <x:c r="B111" s="13" t="str">
        <x:v>TA966</x:v>
      </x:c>
      <x:c r="C111" s="14" t="str">
        <x:v>สุปราณี จันทสูตร</x:v>
      </x:c>
      <x:c r="D111" s="14" t="str">
        <x:v>Supranee Chantasoot</x:v>
      </x:c>
      <x:c r="E111" s="14" t="str">
        <x:v>จอย</x:v>
      </x:c>
      <x:c r="F111" s="14" t="str">
        <x:v>supranee_ch@thanulux.com</x:v>
      </x:c>
      <x:c r="G111" s="13" t="str">
        <x:v>3OS03</x:v>
      </x:c>
      <x:c r="H111" s="14" t="str">
        <x:v>ฝ่ายจัดซื้อและ Sourcing.</x:v>
      </x:c>
      <x:c r="I111" s="13" t="str">
        <x:v>3OS03</x:v>
      </x:c>
      <x:c r="J111" s="14" t="str"/>
      <x:c r="K111" s="13" t="str">
        <x:v>OF001</x:v>
      </x:c>
      <x:c r="L111" s="14" t="str">
        <x:v>Microsoft 365 Business Standard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73abe753c7443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4" hidden="0" customWidth="1"/>
    <x:col min="4" max="4" width="24" hidden="0" customWidth="1"/>
    <x:col min="5" max="5" width="13" hidden="0" customWidth="1"/>
    <x:col min="6" max="6" width="30" hidden="0" customWidth="1"/>
    <x:col min="7" max="7" width="13" hidden="0" customWidth="1"/>
    <x:col min="8" max="8" width="28" hidden="0" customWidth="1"/>
    <x:col min="9" max="9" width="14" hidden="0" customWidth="1"/>
    <x:col min="10" max="10" width="27" hidden="0" customWidth="1"/>
    <x:col min="11" max="11" width="14" hidden="0" customWidth="1"/>
    <x:col min="12" max="12" width="34" hidden="0" customWidth="1"/>
  </x:cols>
  <x:sheetData>
    <x:row r="1" ht="30" customHeight="1">
      <x:c r="A1" s="17" t="str">
        <x:v>รายชื่อ Microsoft 365 Business Basic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 ht="22" customHeight="1">
      <x:c r="A2" s="6" t="str">
        <x:v>ข้อมูลจากระบบ O365 License (read-only) ณ วันที่ 5 สิงหาคม 2026 | จำนวน 72 รายการ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2" customHeight="1">
      <x:c r="A4" s="11" t="str">
        <x:v>ลำดับ</x:v>
      </x:c>
      <x:c r="B4" s="11" t="str">
        <x:v>รหัสพนักงาน</x:v>
      </x:c>
      <x:c r="C4" s="11" t="str">
        <x:v>ชื่อ-นามสกุล</x:v>
      </x:c>
      <x:c r="D4" s="11" t="str">
        <x:v>ชื่อภาษาอังกฤษ</x:v>
      </x:c>
      <x:c r="E4" s="11" t="str">
        <x:v>ชื่อเล่น</x:v>
      </x:c>
      <x:c r="F4" s="11" t="str">
        <x:v>อีเมล</x:v>
      </x:c>
      <x:c r="G4" s="11" t="str">
        <x:v>รหัสแผนก</x:v>
      </x:c>
      <x:c r="H4" s="11" t="str">
        <x:v>แผนก</x:v>
      </x:c>
      <x:c r="I4" s="11" t="str">
        <x:v>Cost Center</x:v>
      </x:c>
      <x:c r="J4" s="11" t="str">
        <x:v>ชื่อ Cost Center</x:v>
      </x:c>
      <x:c r="K4" s="11" t="str">
        <x:v>รหัส License</x:v>
      </x:c>
      <x:c r="L4" s="11" t="str">
        <x:v>ประเภท License</x:v>
      </x:c>
    </x:row>
    <x:row r="5" ht="21" customHeight="1">
      <x:c r="A5" s="13" t="n">
        <x:v>1</x:v>
      </x:c>
      <x:c r="B5" s="13" t="str">
        <x:v>arrow</x:v>
      </x:c>
      <x:c r="C5" s="14" t="str">
        <x:v>arrow</x:v>
      </x:c>
      <x:c r="D5" s="14" t="str">
        <x:v>arrow</x:v>
      </x:c>
      <x:c r="E5" s="14" t="str">
        <x:v>ส่วนกลาง</x:v>
      </x:c>
      <x:c r="F5" s="14" t="str">
        <x:v>arrow@thanulux.com</x:v>
      </x:c>
      <x:c r="G5" s="13" t="str">
        <x:v>A8111</x:v>
      </x:c>
      <x:c r="H5" s="14" t="str">
        <x:v>ฝ่าย ARROW</x:v>
      </x:c>
      <x:c r="I5" s="13" t="str">
        <x:v>A8111</x:v>
      </x:c>
      <x:c r="J5" s="14" t="str">
        <x:v>ฝ่าย ARROW</x:v>
      </x:c>
      <x:c r="K5" s="13" t="str">
        <x:v>OF002</x:v>
      </x:c>
      <x:c r="L5" s="14" t="str">
        <x:v>Microsoft 365 Business Basic</x:v>
      </x:c>
    </x:row>
    <x:row r="6" ht="21" customHeight="1">
      <x:c r="A6" s="13" t="n">
        <x:v>2</x:v>
      </x:c>
      <x:c r="B6" s="13" t="str">
        <x:v>Lek</x:v>
      </x:c>
      <x:c r="C6" s="14" t="str">
        <x:v>sompatsorn_taw</x:v>
      </x:c>
      <x:c r="D6" s="14" t="str">
        <x:v>sompatsorn_taw</x:v>
      </x:c>
      <x:c r="E6" s="14" t="str">
        <x:v>เล็ก/ลาออก</x:v>
      </x:c>
      <x:c r="F6" s="14" t="str">
        <x:v>sompatsorn_taw@thanulux.com</x:v>
      </x:c>
      <x:c r="G6" s="13" t="str">
        <x:v>G8111</x:v>
      </x:c>
      <x:c r="H6" s="14" t="str">
        <x:v>ฝ่าย Guy Laroche</x:v>
      </x:c>
      <x:c r="I6" s="13" t="str">
        <x:v>G8111</x:v>
      </x:c>
      <x:c r="J6" s="14" t="str">
        <x:v>ฝ่าย Guy Laroche</x:v>
      </x:c>
      <x:c r="K6" s="13" t="str">
        <x:v>OF002</x:v>
      </x:c>
      <x:c r="L6" s="14" t="str">
        <x:v>Microsoft 365 Business Basic</x:v>
      </x:c>
    </x:row>
    <x:row r="7" ht="21" customHeight="1">
      <x:c r="A7" s="13" t="n">
        <x:v>3</x:v>
      </x:c>
      <x:c r="B7" s="13" t="str">
        <x:v>Suchin</x:v>
      </x:c>
      <x:c r="C7" s="14" t="str">
        <x:v>suchin de</x:v>
      </x:c>
      <x:c r="D7" s="14" t="str">
        <x:v>suchin de</x:v>
      </x:c>
      <x:c r="E7" s="14" t="str">
        <x:v>สุชิน</x:v>
      </x:c>
      <x:c r="F7" s="14" t="str">
        <x:v>suchin_de@thanulux.com</x:v>
      </x:c>
      <x:c r="G7" s="13" t="str">
        <x:v>A8111</x:v>
      </x:c>
      <x:c r="H7" s="14" t="str">
        <x:v>ฝ่าย ARROW</x:v>
      </x:c>
      <x:c r="I7" s="13" t="str">
        <x:v>A8111</x:v>
      </x:c>
      <x:c r="J7" s="14" t="str">
        <x:v>ฝ่าย ARROW</x:v>
      </x:c>
      <x:c r="K7" s="13" t="str">
        <x:v>OF002</x:v>
      </x:c>
      <x:c r="L7" s="14" t="str">
        <x:v>Microsoft 365 Business Basic</x:v>
      </x:c>
    </x:row>
    <x:row r="8" ht="21" customHeight="1">
      <x:c r="A8" s="13" t="n">
        <x:v>4</x:v>
      </x:c>
      <x:c r="B8" s="13" t="str">
        <x:v>T9030</x:v>
      </x:c>
      <x:c r="C8" s="14" t="str">
        <x:v>พรอนงค์ มีภูมิรู้</x:v>
      </x:c>
      <x:c r="D8" s="14" t="str">
        <x:v>Pornanong Meephumroo</x:v>
      </x:c>
      <x:c r="E8" s="14" t="str">
        <x:v>กุ้ง</x:v>
      </x:c>
      <x:c r="F8" s="14" t="str">
        <x:v>pornanong_me@thanulux.com</x:v>
      </x:c>
      <x:c r="G8" s="13" t="str">
        <x:v>2AM03</x:v>
      </x:c>
      <x:c r="H8" s="14" t="str">
        <x:v>ฝ่าย HR</x:v>
      </x:c>
      <x:c r="I8" s="13" t="str">
        <x:v>2AM03</x:v>
      </x:c>
      <x:c r="J8" s="14" t="str">
        <x:v>ฝ่าย HR</x:v>
      </x:c>
      <x:c r="K8" s="13" t="str">
        <x:v>OF002</x:v>
      </x:c>
      <x:c r="L8" s="14" t="str">
        <x:v>Microsoft 365 Business Basic</x:v>
      </x:c>
    </x:row>
    <x:row r="9" ht="21" customHeight="1">
      <x:c r="A9" s="13" t="n">
        <x:v>5</x:v>
      </x:c>
      <x:c r="B9" s="13" t="str">
        <x:v>T9058</x:v>
      </x:c>
      <x:c r="C9" s="14" t="str">
        <x:v>ภากร บูรณเสน</x:v>
      </x:c>
      <x:c r="D9" s="14" t="str">
        <x:v>Phakorn Buranasen</x:v>
      </x:c>
      <x:c r="E9" s="14" t="str">
        <x:v>โบ้</x:v>
      </x:c>
      <x:c r="F9" s="14" t="str">
        <x:v>Phakorn_bu@thanulux.com</x:v>
      </x:c>
      <x:c r="G9" s="13" t="str">
        <x:v>2AM04</x:v>
      </x:c>
      <x:c r="H9" s="14" t="str">
        <x:v>ฝ่าย IT</x:v>
      </x:c>
      <x:c r="I9" s="13" t="str">
        <x:v>2AM04</x:v>
      </x:c>
      <x:c r="J9" s="14" t="str">
        <x:v>ฝ่าย IT</x:v>
      </x:c>
      <x:c r="K9" s="13" t="str">
        <x:v>OF002</x:v>
      </x:c>
      <x:c r="L9" s="14" t="str">
        <x:v>Microsoft 365 Business Basic</x:v>
      </x:c>
    </x:row>
    <x:row r="10" ht="21" customHeight="1">
      <x:c r="A10" s="13" t="n">
        <x:v>6</x:v>
      </x:c>
      <x:c r="B10" s="13" t="str">
        <x:v>T9095</x:v>
      </x:c>
      <x:c r="C10" s="14" t="str">
        <x:v>จีรฉัตร ปากชำนิ</x:v>
      </x:c>
      <x:c r="D10" s="14" t="str">
        <x:v>Jeerachart Pakchamni</x:v>
      </x:c>
      <x:c r="E10" s="14" t="str">
        <x:v>ก๊อฟ</x:v>
      </x:c>
      <x:c r="F10" s="14" t="str">
        <x:v>jeerachart_pc@thanulux.com</x:v>
      </x:c>
      <x:c r="G10" s="13" t="str">
        <x:v>I8111</x:v>
      </x:c>
      <x:c r="H10" s="14" t="str">
        <x:v>INNER GUY LAROCHE</x:v>
      </x:c>
      <x:c r="I10" s="13" t="str">
        <x:v>I8111</x:v>
      </x:c>
      <x:c r="J10" s="14" t="str">
        <x:v>ฝ่าย Apparel 2</x:v>
      </x:c>
      <x:c r="K10" s="13" t="str">
        <x:v>OF002</x:v>
      </x:c>
      <x:c r="L10" s="14" t="str">
        <x:v>Microsoft 365 Business Basic</x:v>
      </x:c>
    </x:row>
    <x:row r="11" ht="21" customHeight="1">
      <x:c r="A11" s="13" t="n">
        <x:v>7</x:v>
      </x:c>
      <x:c r="B11" s="13" t="str">
        <x:v>T9108</x:v>
      </x:c>
      <x:c r="C11" s="14" t="str">
        <x:v>ชลิดา สุประหยัด</x:v>
      </x:c>
      <x:c r="D11" s="14" t="str">
        <x:v>Chalida Suprayad</x:v>
      </x:c>
      <x:c r="E11" s="14" t="str">
        <x:v>ยุ้ย</x:v>
      </x:c>
      <x:c r="F11" s="14" t="str">
        <x:v>corp_chalida@thanulux.com</x:v>
      </x:c>
      <x:c r="G11" s="13" t="str">
        <x:v>A8111</x:v>
      </x:c>
      <x:c r="H11" s="14" t="str">
        <x:v>ฝ่าย ARROW</x:v>
      </x:c>
      <x:c r="I11" s="13" t="str">
        <x:v>A8111</x:v>
      </x:c>
      <x:c r="J11" s="14" t="str">
        <x:v>ฝ่าย ARROW</x:v>
      </x:c>
      <x:c r="K11" s="13" t="str">
        <x:v>OF002</x:v>
      </x:c>
      <x:c r="L11" s="14" t="str">
        <x:v>Microsoft 365 Business Basic</x:v>
      </x:c>
    </x:row>
    <x:row r="12" ht="21" customHeight="1">
      <x:c r="A12" s="13" t="n">
        <x:v>8</x:v>
      </x:c>
      <x:c r="B12" s="13" t="str">
        <x:v>T9118</x:v>
      </x:c>
      <x:c r="C12" s="14" t="str">
        <x:v>เวทะนี ธนาศรัณยากร</x:v>
      </x:c>
      <x:c r="D12" s="14" t="str">
        <x:v>Waethanee Tanasarunyakorn</x:v>
      </x:c>
      <x:c r="E12" s="14" t="str">
        <x:v>เวย์</x:v>
      </x:c>
      <x:c r="F12" s="14" t="str">
        <x:v>Waethanee@thanulux.com</x:v>
      </x:c>
      <x:c r="G12" s="13" t="str">
        <x:v>A8111</x:v>
      </x:c>
      <x:c r="H12" s="14" t="str">
        <x:v>ฝ่าย ARROW</x:v>
      </x:c>
      <x:c r="I12" s="13" t="str">
        <x:v>A8111</x:v>
      </x:c>
      <x:c r="J12" s="14" t="str">
        <x:v>ฝ่าย ARROW</x:v>
      </x:c>
      <x:c r="K12" s="13" t="str">
        <x:v>OF002</x:v>
      </x:c>
      <x:c r="L12" s="14" t="str">
        <x:v>Microsoft 365 Business Basic</x:v>
      </x:c>
    </x:row>
    <x:row r="13" ht="21" customHeight="1">
      <x:c r="A13" s="13" t="n">
        <x:v>9</x:v>
      </x:c>
      <x:c r="B13" s="13" t="str">
        <x:v>T9133</x:v>
      </x:c>
      <x:c r="C13" s="14" t="str">
        <x:v>วาสนา สรรวัจนา</x:v>
      </x:c>
      <x:c r="D13" s="14" t="str">
        <x:v>Wassana Sanvatjana</x:v>
      </x:c>
      <x:c r="E13" s="14" t="str">
        <x:v>จิ๊บ</x:v>
      </x:c>
      <x:c r="F13" s="14" t="str">
        <x:v>wassana_sa@thanulux.com</x:v>
      </x:c>
      <x:c r="G13" s="13" t="str">
        <x:v>A8111</x:v>
      </x:c>
      <x:c r="H13" s="14" t="str">
        <x:v>ฝ่าย ARROW</x:v>
      </x:c>
      <x:c r="I13" s="13" t="str">
        <x:v>A8111</x:v>
      </x:c>
      <x:c r="J13" s="14" t="str">
        <x:v>ฝ่าย ARROW</x:v>
      </x:c>
      <x:c r="K13" s="13" t="str">
        <x:v>OF002</x:v>
      </x:c>
      <x:c r="L13" s="14" t="str">
        <x:v>Microsoft 365 Business Basic</x:v>
      </x:c>
    </x:row>
    <x:row r="14" ht="21" customHeight="1">
      <x:c r="A14" s="13" t="n">
        <x:v>10</x:v>
      </x:c>
      <x:c r="B14" s="13" t="str">
        <x:v>T9207</x:v>
      </x:c>
      <x:c r="C14" s="14" t="str">
        <x:v>กัญญาณัฏฐ์ สุภะ</x:v>
      </x:c>
      <x:c r="D14" s="14" t="str">
        <x:v>Kanyanatth Supa (Ben)</x:v>
      </x:c>
      <x:c r="E14" s="14" t="str">
        <x:v>เบน/ลาออก</x:v>
      </x:c>
      <x:c r="F14" s="14" t="str">
        <x:v>ben_pr@thanulux.com</x:v>
      </x:c>
      <x:c r="G14" s="13" t="str">
        <x:v>A8111</x:v>
      </x:c>
      <x:c r="H14" s="14" t="str">
        <x:v>ฝ่าย ARROW</x:v>
      </x:c>
      <x:c r="I14" s="13" t="str">
        <x:v>A8111</x:v>
      </x:c>
      <x:c r="J14" s="14" t="str">
        <x:v>ฝ่าย ARROW</x:v>
      </x:c>
      <x:c r="K14" s="13" t="str">
        <x:v>OF002</x:v>
      </x:c>
      <x:c r="L14" s="14" t="str">
        <x:v>Microsoft 365 Business Basic</x:v>
      </x:c>
    </x:row>
    <x:row r="15" ht="21" customHeight="1">
      <x:c r="A15" s="13" t="n">
        <x:v>11</x:v>
      </x:c>
      <x:c r="B15" s="13" t="str">
        <x:v>T9220</x:v>
      </x:c>
      <x:c r="C15" s="14" t="str">
        <x:v>กิติภณ วิสุทธิ์เทพ</x:v>
      </x:c>
      <x:c r="D15" s="14" t="str">
        <x:v>Kitiphon wisutthep</x:v>
      </x:c>
      <x:c r="E15" s="14" t="str">
        <x:v>เค</x:v>
      </x:c>
      <x:c r="F15" s="14" t="str">
        <x:v>Sompob@thanulux.com</x:v>
      </x:c>
      <x:c r="G15" s="13" t="str">
        <x:v>2AM04</x:v>
      </x:c>
      <x:c r="H15" s="14" t="str">
        <x:v>ฝ่าย IT</x:v>
      </x:c>
      <x:c r="I15" s="13" t="str">
        <x:v>2AM04</x:v>
      </x:c>
      <x:c r="J15" s="14" t="str">
        <x:v>ฝ่าย IT</x:v>
      </x:c>
      <x:c r="K15" s="13" t="str">
        <x:v>OF002</x:v>
      </x:c>
      <x:c r="L15" s="14" t="str">
        <x:v>Microsoft 365 Business Basic</x:v>
      </x:c>
    </x:row>
    <x:row r="16" ht="21" customHeight="1">
      <x:c r="A16" s="13" t="n">
        <x:v>12</x:v>
      </x:c>
      <x:c r="B16" s="13" t="str">
        <x:v>T9232</x:v>
      </x:c>
      <x:c r="C16" s="14" t="str">
        <x:v>ประภาภรณ์ กำจรจรุงวิทย์</x:v>
      </x:c>
      <x:c r="D16" s="14" t="str">
        <x:v>Prapaporn Kumjornjarungwit</x:v>
      </x:c>
      <x:c r="E16" s="14" t="str">
        <x:v>ภรณ์</x:v>
      </x:c>
      <x:c r="F16" s="14" t="str">
        <x:v>Prapaporn_ka@thanulux.com</x:v>
      </x:c>
      <x:c r="G16" s="13" t="str">
        <x:v>2AM04</x:v>
      </x:c>
      <x:c r="H16" s="14" t="str">
        <x:v>ฝ่าย IT</x:v>
      </x:c>
      <x:c r="I16" s="13" t="str">
        <x:v>2AM04</x:v>
      </x:c>
      <x:c r="J16" s="14" t="str">
        <x:v>ฝ่าย IT</x:v>
      </x:c>
      <x:c r="K16" s="13" t="str">
        <x:v>OF002</x:v>
      </x:c>
      <x:c r="L16" s="14" t="str">
        <x:v>Microsoft 365 Business Basic</x:v>
      </x:c>
    </x:row>
    <x:row r="17" ht="21" customHeight="1">
      <x:c r="A17" s="13" t="n">
        <x:v>13</x:v>
      </x:c>
      <x:c r="B17" s="13" t="str">
        <x:v>T9256</x:v>
      </x:c>
      <x:c r="C17" s="14" t="str">
        <x:v>ธวัชชัย ปิ่นแก้ว</x:v>
      </x:c>
      <x:c r="D17" s="14" t="str">
        <x:v>Tawatchai pinkaew</x:v>
      </x:c>
      <x:c r="E17" s="14" t="str">
        <x:v>วัช</x:v>
      </x:c>
      <x:c r="F17" s="14" t="str">
        <x:v>Tawatchai_pi@thanulux.com</x:v>
      </x:c>
      <x:c r="G17" s="13" t="str">
        <x:v>2AM04</x:v>
      </x:c>
      <x:c r="H17" s="14" t="str">
        <x:v>ฝ่าย IT</x:v>
      </x:c>
      <x:c r="I17" s="13" t="str">
        <x:v>2AM04</x:v>
      </x:c>
      <x:c r="J17" s="14" t="str">
        <x:v>ฝ่าย IT</x:v>
      </x:c>
      <x:c r="K17" s="13" t="str">
        <x:v>OF002</x:v>
      </x:c>
      <x:c r="L17" s="14" t="str">
        <x:v>Microsoft 365 Business Basic</x:v>
      </x:c>
    </x:row>
    <x:row r="18" ht="21" customHeight="1">
      <x:c r="A18" s="13" t="n">
        <x:v>14</x:v>
      </x:c>
      <x:c r="B18" s="13" t="str">
        <x:v>T9265</x:v>
      </x:c>
      <x:c r="C18" s="14" t="str">
        <x:v>มนตรี เลี้ยงหล่ำ</x:v>
      </x:c>
      <x:c r="D18" s="14" t="str">
        <x:v>Montree Leanglam</x:v>
      </x:c>
      <x:c r="E18" s="14" t="str">
        <x:v>เอก</x:v>
      </x:c>
      <x:c r="F18" s="14" t="str">
        <x:v>Montree_le@thanulux.com</x:v>
      </x:c>
      <x:c r="G18" s="13" t="str">
        <x:v>2AM04</x:v>
      </x:c>
      <x:c r="H18" s="14" t="str">
        <x:v>ฝ่าย IT</x:v>
      </x:c>
      <x:c r="I18" s="13" t="str">
        <x:v>2AM04</x:v>
      </x:c>
      <x:c r="J18" s="14" t="str">
        <x:v>ฝ่าย IT</x:v>
      </x:c>
      <x:c r="K18" s="13" t="str">
        <x:v>OF002</x:v>
      </x:c>
      <x:c r="L18" s="14" t="str">
        <x:v>Microsoft 365 Business Basic</x:v>
      </x:c>
    </x:row>
    <x:row r="19" ht="21" customHeight="1">
      <x:c r="A19" s="13" t="n">
        <x:v>15</x:v>
      </x:c>
      <x:c r="B19" s="13" t="str">
        <x:v>T9267</x:v>
      </x:c>
      <x:c r="C19" s="14" t="str">
        <x:v>วรรณี สมบูรณ์</x:v>
      </x:c>
      <x:c r="D19" s="14" t="str">
        <x:v>Wannee Somboon</x:v>
      </x:c>
      <x:c r="E19" s="14" t="str">
        <x:v>ขวัญ</x:v>
      </x:c>
      <x:c r="F19" s="14" t="str">
        <x:v>wannee_so@thanulux.com</x:v>
      </x:c>
      <x:c r="G19" s="13" t="str">
        <x:v>G8111</x:v>
      </x:c>
      <x:c r="H19" s="14" t="str">
        <x:v>ฝ่าย Guy Laroche</x:v>
      </x:c>
      <x:c r="I19" s="13" t="str">
        <x:v>G8111</x:v>
      </x:c>
      <x:c r="J19" s="14" t="str">
        <x:v>ฝ่าย Guy Laroche</x:v>
      </x:c>
      <x:c r="K19" s="13" t="str">
        <x:v>OF002</x:v>
      </x:c>
      <x:c r="L19" s="14" t="str">
        <x:v>Microsoft 365 Business Basic</x:v>
      </x:c>
    </x:row>
    <x:row r="20" ht="21" customHeight="1">
      <x:c r="A20" s="13" t="n">
        <x:v>16</x:v>
      </x:c>
      <x:c r="B20" s="13" t="str">
        <x:v>T9299</x:v>
      </x:c>
      <x:c r="C20" s="14" t="str">
        <x:v>ธนชัย พัวพันปัญโญภาส</x:v>
      </x:c>
      <x:c r="D20" s="14" t="str">
        <x:v>Thanachai Phuaphanpunyopas</x:v>
      </x:c>
      <x:c r="E20" s="14" t="str">
        <x:v>หนึ่ง</x:v>
      </x:c>
      <x:c r="F20" s="14" t="str">
        <x:v>thanachai_ph@thanulux.com</x:v>
      </x:c>
      <x:c r="G20" s="13" t="str">
        <x:v>2AM04</x:v>
      </x:c>
      <x:c r="H20" s="14" t="str">
        <x:v>ฝ่าย IT</x:v>
      </x:c>
      <x:c r="I20" s="13" t="str">
        <x:v>2AM04</x:v>
      </x:c>
      <x:c r="J20" s="14" t="str">
        <x:v>ฝ่าย IT</x:v>
      </x:c>
      <x:c r="K20" s="13" t="str">
        <x:v>OF002</x:v>
      </x:c>
      <x:c r="L20" s="14" t="str">
        <x:v>Microsoft 365 Business Basic</x:v>
      </x:c>
    </x:row>
    <x:row r="21" ht="21" customHeight="1">
      <x:c r="A21" s="13" t="n">
        <x:v>17</x:v>
      </x:c>
      <x:c r="B21" s="13" t="str">
        <x:v>T9315</x:v>
      </x:c>
      <x:c r="C21" s="14" t="str">
        <x:v>บรรจงรักษ์ ปุญญาคม</x:v>
      </x:c>
      <x:c r="D21" s="14" t="str">
        <x:v>Banjongruk Punyakom</x:v>
      </x:c>
      <x:c r="E21" s="14" t="str">
        <x:v>มด</x:v>
      </x:c>
      <x:c r="F21" s="14" t="str">
        <x:v>banjongruk_sa@thanulux.com</x:v>
      </x:c>
      <x:c r="G21" s="13" t="str">
        <x:v>I8111</x:v>
      </x:c>
      <x:c r="H21" s="14" t="str">
        <x:v>INNER GUY LAROCHE</x:v>
      </x:c>
      <x:c r="I21" s="13" t="str">
        <x:v>I8111</x:v>
      </x:c>
      <x:c r="J21" s="14" t="str">
        <x:v>ฝ่าย Apparel 2</x:v>
      </x:c>
      <x:c r="K21" s="13" t="str">
        <x:v>OF002</x:v>
      </x:c>
      <x:c r="L21" s="14" t="str">
        <x:v>Microsoft 365 Business Basic</x:v>
      </x:c>
    </x:row>
    <x:row r="22" ht="21" customHeight="1">
      <x:c r="A22" s="13" t="n">
        <x:v>18</x:v>
      </x:c>
      <x:c r="B22" s="13" t="str">
        <x:v>T9334</x:v>
      </x:c>
      <x:c r="C22" s="14" t="str">
        <x:v>ณฤดี พีรบริรักษ์</x:v>
      </x:c>
      <x:c r="D22" s="14" t="str">
        <x:v>Naluedee Phiraborirak</x:v>
      </x:c>
      <x:c r="E22" s="14" t="str">
        <x:v>ฟรอยด์</x:v>
      </x:c>
      <x:c r="F22" s="14" t="str">
        <x:v>Naluedee_ph@thanulux.com</x:v>
      </x:c>
      <x:c r="G22" s="13" t="str">
        <x:v>2AM04</x:v>
      </x:c>
      <x:c r="H22" s="14" t="str">
        <x:v>ฝ่าย IT</x:v>
      </x:c>
      <x:c r="I22" s="13" t="str">
        <x:v>2AM04</x:v>
      </x:c>
      <x:c r="J22" s="14" t="str">
        <x:v>ฝ่าย IT</x:v>
      </x:c>
      <x:c r="K22" s="13" t="str">
        <x:v>OF002</x:v>
      </x:c>
      <x:c r="L22" s="14" t="str">
        <x:v>Microsoft 365 Business Basic</x:v>
      </x:c>
    </x:row>
    <x:row r="23" ht="21" customHeight="1">
      <x:c r="A23" s="13" t="n">
        <x:v>19</x:v>
      </x:c>
      <x:c r="B23" s="13" t="str">
        <x:v>T9362</x:v>
      </x:c>
      <x:c r="C23" s="14" t="str">
        <x:v>วราลักษณ์ สุขพรรณเจริญ</x:v>
      </x:c>
      <x:c r="D23" s="14" t="str">
        <x:v>Waraluk Sukphancharoen</x:v>
      </x:c>
      <x:c r="E23" s="14" t="str">
        <x:v>ยุ้ย</x:v>
      </x:c>
      <x:c r="F23" s="14" t="str">
        <x:v>Waraluk_su@thanulux.com</x:v>
      </x:c>
      <x:c r="G23" s="13" t="str">
        <x:v>2AM04</x:v>
      </x:c>
      <x:c r="H23" s="14" t="str">
        <x:v>ฝ่าย IT</x:v>
      </x:c>
      <x:c r="I23" s="13" t="str">
        <x:v>2AM04</x:v>
      </x:c>
      <x:c r="J23" s="14" t="str">
        <x:v>ฝ่าย IT</x:v>
      </x:c>
      <x:c r="K23" s="13" t="str">
        <x:v>OF002</x:v>
      </x:c>
      <x:c r="L23" s="14" t="str">
        <x:v>Microsoft 365 Business Basic</x:v>
      </x:c>
    </x:row>
    <x:row r="24" ht="21" customHeight="1">
      <x:c r="A24" s="13" t="n">
        <x:v>20</x:v>
      </x:c>
      <x:c r="B24" s="13" t="str">
        <x:v>T9370</x:v>
      </x:c>
      <x:c r="C24" s="14" t="str">
        <x:v>กนกชัย มิ่งขวัญปิยะกุล</x:v>
      </x:c>
      <x:c r="D24" s="14" t="str">
        <x:v>Kanokchai Mingquanpiyakul</x:v>
      </x:c>
      <x:c r="E24" s="14" t="str">
        <x:v>พี่ปิง</x:v>
      </x:c>
      <x:c r="F24" s="14" t="str">
        <x:v>ping@thanulux.com</x:v>
      </x:c>
      <x:c r="G24" s="13" t="str">
        <x:v>A8111</x:v>
      </x:c>
      <x:c r="H24" s="14" t="str">
        <x:v>ฝ่าย ARROW</x:v>
      </x:c>
      <x:c r="I24" s="13" t="str">
        <x:v>A8111</x:v>
      </x:c>
      <x:c r="J24" s="14" t="str">
        <x:v>ฝ่าย ARROW</x:v>
      </x:c>
      <x:c r="K24" s="13" t="str">
        <x:v>OF002</x:v>
      </x:c>
      <x:c r="L24" s="14" t="str">
        <x:v>Microsoft 365 Business Basic</x:v>
      </x:c>
    </x:row>
    <x:row r="25" ht="21" customHeight="1">
      <x:c r="A25" s="13" t="n">
        <x:v>21</x:v>
      </x:c>
      <x:c r="B25" s="13" t="str">
        <x:v>T9384</x:v>
      </x:c>
      <x:c r="C25" s="14" t="str">
        <x:v>กานต์สิรี เทศทองคำ</x:v>
      </x:c>
      <x:c r="D25" s="14" t="str">
        <x:v>Karnsiree Testhongkam</x:v>
      </x:c>
      <x:c r="E25" s="14" t="str">
        <x:v>วา</x:v>
      </x:c>
      <x:c r="F25" s="14" t="str">
        <x:v>Karnsiree@thanulux.com</x:v>
      </x:c>
      <x:c r="G25" s="13" t="str">
        <x:v>C8111</x:v>
      </x:c>
      <x:c r="H25" s="14" t="str">
        <x:v>ABSORBA</x:v>
      </x:c>
      <x:c r="I25" s="13" t="str">
        <x:v>C8111</x:v>
      </x:c>
      <x:c r="J25" s="14" t="str">
        <x:v>ABSORBA</x:v>
      </x:c>
      <x:c r="K25" s="13" t="str">
        <x:v>OF002</x:v>
      </x:c>
      <x:c r="L25" s="14" t="str">
        <x:v>Microsoft 365 Business Basic</x:v>
      </x:c>
    </x:row>
    <x:row r="26" ht="21" customHeight="1">
      <x:c r="A26" s="13" t="n">
        <x:v>22</x:v>
      </x:c>
      <x:c r="B26" s="13" t="str">
        <x:v>T9439</x:v>
      </x:c>
      <x:c r="C26" s="14" t="str">
        <x:v>ธนกฤษ ไสยกิจ</x:v>
      </x:c>
      <x:c r="D26" s="14" t="str">
        <x:v>Thanakrit Saiyakit</x:v>
      </x:c>
      <x:c r="E26" s="14" t="str">
        <x:v>เอ</x:v>
      </x:c>
      <x:c r="F26" s="14" t="str">
        <x:v>thanakrit_sa@thanulux.com</x:v>
      </x:c>
      <x:c r="G26" s="13" t="str">
        <x:v>A8111</x:v>
      </x:c>
      <x:c r="H26" s="14" t="str">
        <x:v>ฝ่าย ARROW</x:v>
      </x:c>
      <x:c r="I26" s="13" t="str">
        <x:v>A8111</x:v>
      </x:c>
      <x:c r="J26" s="14" t="str">
        <x:v>ฝ่าย ARROW</x:v>
      </x:c>
      <x:c r="K26" s="13" t="str">
        <x:v>OF002</x:v>
      </x:c>
      <x:c r="L26" s="14" t="str">
        <x:v>Microsoft 365 Business Basic</x:v>
      </x:c>
    </x:row>
    <x:row r="27" ht="21" customHeight="1">
      <x:c r="A27" s="13" t="n">
        <x:v>23</x:v>
      </x:c>
      <x:c r="B27" s="13" t="str">
        <x:v>T9463</x:v>
      </x:c>
      <x:c r="C27" s="14" t="str">
        <x:v>สุนีย์ คงสงฆ์</x:v>
      </x:c>
      <x:c r="D27" s="14" t="str">
        <x:v>Sunee Kongsong</x:v>
      </x:c>
      <x:c r="E27" s="14" t="str">
        <x:v>อ้อย</x:v>
      </x:c>
      <x:c r="F27" s="14" t="str">
        <x:v>Sunee@thanulux.com</x:v>
      </x:c>
      <x:c r="G27" s="13" t="str">
        <x:v>2AM04</x:v>
      </x:c>
      <x:c r="H27" s="14" t="str">
        <x:v>ฝ่าย IT</x:v>
      </x:c>
      <x:c r="I27" s="13" t="str">
        <x:v>2AM04</x:v>
      </x:c>
      <x:c r="J27" s="14" t="str">
        <x:v>ฝ่าย IT</x:v>
      </x:c>
      <x:c r="K27" s="13" t="str">
        <x:v>OF002</x:v>
      </x:c>
      <x:c r="L27" s="14" t="str">
        <x:v>Microsoft 365 Business Basic</x:v>
      </x:c>
    </x:row>
    <x:row r="28" ht="21" customHeight="1">
      <x:c r="A28" s="13" t="n">
        <x:v>24</x:v>
      </x:c>
      <x:c r="B28" s="13" t="str">
        <x:v>T9495</x:v>
      </x:c>
      <x:c r="C28" s="14" t="str">
        <x:v>สาคร เพิ่มสวัสดิ์</x:v>
      </x:c>
      <x:c r="D28" s="14" t="str">
        <x:v>Sakorn Permsawat</x:v>
      </x:c>
      <x:c r="E28" s="14" t="str">
        <x:v>โอ๋</x:v>
      </x:c>
      <x:c r="F28" s="14" t="str">
        <x:v>Sakorn_pe@thanulux.com</x:v>
      </x:c>
      <x:c r="G28" s="13" t="str">
        <x:v>2AM04</x:v>
      </x:c>
      <x:c r="H28" s="14" t="str">
        <x:v>ฝ่าย IT</x:v>
      </x:c>
      <x:c r="I28" s="13" t="str">
        <x:v>2AM04</x:v>
      </x:c>
      <x:c r="J28" s="14" t="str">
        <x:v>ฝ่าย IT</x:v>
      </x:c>
      <x:c r="K28" s="13" t="str">
        <x:v>OF002</x:v>
      </x:c>
      <x:c r="L28" s="14" t="str">
        <x:v>Microsoft 365 Business Basic</x:v>
      </x:c>
    </x:row>
    <x:row r="29" ht="21" customHeight="1">
      <x:c r="A29" s="13" t="n">
        <x:v>25</x:v>
      </x:c>
      <x:c r="B29" s="13" t="str">
        <x:v>T9515</x:v>
      </x:c>
      <x:c r="C29" s="14" t="str">
        <x:v>ปานมนัส ทิตระกูล</x:v>
      </x:c>
      <x:c r="D29" s="14" t="str">
        <x:v>Panmanat Titragool</x:v>
      </x:c>
      <x:c r="E29" s="14" t="str">
        <x:v>เนม</x:v>
      </x:c>
      <x:c r="F29" s="14" t="str">
        <x:v>Panmanat_ti@thanulux.com</x:v>
      </x:c>
      <x:c r="G29" s="13" t="str">
        <x:v>2AM04</x:v>
      </x:c>
      <x:c r="H29" s="14" t="str">
        <x:v>ฝ่าย IT</x:v>
      </x:c>
      <x:c r="I29" s="13" t="str">
        <x:v>2AM04</x:v>
      </x:c>
      <x:c r="J29" s="14" t="str">
        <x:v>ฝ่าย IT</x:v>
      </x:c>
      <x:c r="K29" s="13" t="str">
        <x:v>OF002</x:v>
      </x:c>
      <x:c r="L29" s="14" t="str">
        <x:v>Microsoft 365 Business Basic</x:v>
      </x:c>
    </x:row>
    <x:row r="30" ht="21" customHeight="1">
      <x:c r="A30" s="13" t="n">
        <x:v>26</x:v>
      </x:c>
      <x:c r="B30" s="13" t="str">
        <x:v>T9530</x:v>
      </x:c>
      <x:c r="C30" s="14" t="str">
        <x:v>สลิลา ไกลกล่อม</x:v>
      </x:c>
      <x:c r="D30" s="14" t="str">
        <x:v>Salila Klaiklom</x:v>
      </x:c>
      <x:c r="E30" s="14" t="str">
        <x:v>นุช</x:v>
      </x:c>
      <x:c r="F30" s="14" t="str">
        <x:v>salila_kl@thanulux.com</x:v>
      </x:c>
      <x:c r="G30" s="13" t="str">
        <x:v>H8111</x:v>
      </x:c>
      <x:c r="H30" s="14" t="str">
        <x:v>House Brand</x:v>
      </x:c>
      <x:c r="I30" s="13" t="str">
        <x:v>H8111</x:v>
      </x:c>
      <x:c r="J30" s="14" t="str"/>
      <x:c r="K30" s="13" t="str">
        <x:v>OF002</x:v>
      </x:c>
      <x:c r="L30" s="14" t="str">
        <x:v>Microsoft 365 Business Basic</x:v>
      </x:c>
    </x:row>
    <x:row r="31" ht="21" customHeight="1">
      <x:c r="A31" s="13" t="n">
        <x:v>27</x:v>
      </x:c>
      <x:c r="B31" s="13" t="str">
        <x:v>T9603</x:v>
      </x:c>
      <x:c r="C31" s="14" t="str">
        <x:v>ปัญจพล จันทร์ทรง</x:v>
      </x:c>
      <x:c r="D31" s="14" t="str">
        <x:v>Panjaphol Jansong</x:v>
      </x:c>
      <x:c r="E31" s="14" t="str">
        <x:v>หนึ่ง/ลาออก</x:v>
      </x:c>
      <x:c r="F31" s="14" t="str">
        <x:v>panjaphol_ja@thanulux.com</x:v>
      </x:c>
      <x:c r="G31" s="13" t="str">
        <x:v>A8111</x:v>
      </x:c>
      <x:c r="H31" s="14" t="str">
        <x:v>ฝ่าย ARROW</x:v>
      </x:c>
      <x:c r="I31" s="13" t="str">
        <x:v>A8111</x:v>
      </x:c>
      <x:c r="J31" s="14" t="str">
        <x:v>ฝ่าย ARROW</x:v>
      </x:c>
      <x:c r="K31" s="13" t="str">
        <x:v>OF002</x:v>
      </x:c>
      <x:c r="L31" s="14" t="str">
        <x:v>Microsoft 365 Business Basic</x:v>
      </x:c>
    </x:row>
    <x:row r="32" ht="21" customHeight="1">
      <x:c r="A32" s="13" t="n">
        <x:v>28</x:v>
      </x:c>
      <x:c r="B32" s="13" t="str">
        <x:v>T9622</x:v>
      </x:c>
      <x:c r="C32" s="14" t="str">
        <x:v>อัจฉรา ธรรมนาวรรณ</x:v>
      </x:c>
      <x:c r="D32" s="14" t="str">
        <x:v>Atchara Thammanawan</x:v>
      </x:c>
      <x:c r="E32" s="14" t="str">
        <x:v>อุ๋ย</x:v>
      </x:c>
      <x:c r="F32" s="14" t="str">
        <x:v>atchara_guy@thanulux.com</x:v>
      </x:c>
      <x:c r="G32" s="13" t="str">
        <x:v>G8111</x:v>
      </x:c>
      <x:c r="H32" s="14" t="str">
        <x:v>ฝ่าย Guy Laroche</x:v>
      </x:c>
      <x:c r="I32" s="13" t="str">
        <x:v>G8111</x:v>
      </x:c>
      <x:c r="J32" s="14" t="str">
        <x:v>ฝ่าย Guy Laroche</x:v>
      </x:c>
      <x:c r="K32" s="13" t="str">
        <x:v>OF002</x:v>
      </x:c>
      <x:c r="L32" s="14" t="str">
        <x:v>Microsoft 365 Business Basic</x:v>
      </x:c>
    </x:row>
    <x:row r="33" ht="21" customHeight="1">
      <x:c r="A33" s="13" t="n">
        <x:v>29</x:v>
      </x:c>
      <x:c r="B33" s="13" t="str">
        <x:v>T9655</x:v>
      </x:c>
      <x:c r="C33" s="14" t="str">
        <x:v>เอกพรรณ ชุมนิกาย</x:v>
      </x:c>
      <x:c r="D33" s="14" t="str">
        <x:v>Ekkaphan Chumnikay</x:v>
      </x:c>
      <x:c r="E33" s="14" t="str">
        <x:v>ปอนด์</x:v>
      </x:c>
      <x:c r="F33" s="14" t="str">
        <x:v>ekkaphan_ch@thanulux.com</x:v>
      </x:c>
      <x:c r="G33" s="13" t="str">
        <x:v>A8111</x:v>
      </x:c>
      <x:c r="H33" s="14" t="str">
        <x:v>ฝ่าย ARROW</x:v>
      </x:c>
      <x:c r="I33" s="13" t="str">
        <x:v>A8111</x:v>
      </x:c>
      <x:c r="J33" s="14" t="str">
        <x:v>ฝ่าย ARROW</x:v>
      </x:c>
      <x:c r="K33" s="13" t="str">
        <x:v>OF002</x:v>
      </x:c>
      <x:c r="L33" s="14" t="str">
        <x:v>Microsoft 365 Business Basic</x:v>
      </x:c>
    </x:row>
    <x:row r="34" ht="21" customHeight="1">
      <x:c r="A34" s="13" t="n">
        <x:v>30</x:v>
      </x:c>
      <x:c r="B34" s="13" t="str">
        <x:v>T9671</x:v>
      </x:c>
      <x:c r="C34" s="14" t="str">
        <x:v>ศิริชัย ติระบาล</x:v>
      </x:c>
      <x:c r="D34" s="14" t="str">
        <x:v>Sirichai Thirabal</x:v>
      </x:c>
      <x:c r="E34" s="14" t="str">
        <x:v>ก๊อต/ลาออก</x:v>
      </x:c>
      <x:c r="F34" s="14" t="str">
        <x:v>sirichai_th@thanulux.com</x:v>
      </x:c>
      <x:c r="G34" s="13" t="str">
        <x:v>A8111</x:v>
      </x:c>
      <x:c r="H34" s="14" t="str">
        <x:v>ฝ่าย ARROW</x:v>
      </x:c>
      <x:c r="I34" s="13" t="str">
        <x:v>A8111</x:v>
      </x:c>
      <x:c r="J34" s="14" t="str">
        <x:v>ฝ่าย ARROW</x:v>
      </x:c>
      <x:c r="K34" s="13" t="str">
        <x:v>OF002</x:v>
      </x:c>
      <x:c r="L34" s="14" t="str">
        <x:v>Microsoft 365 Business Basic</x:v>
      </x:c>
    </x:row>
    <x:row r="35" ht="21" customHeight="1">
      <x:c r="A35" s="13" t="n">
        <x:v>31</x:v>
      </x:c>
      <x:c r="B35" s="13" t="str">
        <x:v>T9672</x:v>
      </x:c>
      <x:c r="C35" s="14" t="str">
        <x:v>อภิชาติ ผาลึกโรจน์</x:v>
      </x:c>
      <x:c r="D35" s="14" t="str">
        <x:v>Apichart Phaluekroj</x:v>
      </x:c>
      <x:c r="E35" s="14" t="str">
        <x:v>ชาติ</x:v>
      </x:c>
      <x:c r="F35" s="14" t="str">
        <x:v>apichart_ph@thanulux.com</x:v>
      </x:c>
      <x:c r="G35" s="13" t="str">
        <x:v>2AM04</x:v>
      </x:c>
      <x:c r="H35" s="14" t="str">
        <x:v>ฝ่าย IT</x:v>
      </x:c>
      <x:c r="I35" s="13" t="str">
        <x:v>2AM04</x:v>
      </x:c>
      <x:c r="J35" s="14" t="str">
        <x:v>ฝ่าย IT</x:v>
      </x:c>
      <x:c r="K35" s="13" t="str">
        <x:v>OF002</x:v>
      </x:c>
      <x:c r="L35" s="14" t="str">
        <x:v>Microsoft 365 Business Basic</x:v>
      </x:c>
    </x:row>
    <x:row r="36" ht="21" customHeight="1">
      <x:c r="A36" s="13" t="n">
        <x:v>32</x:v>
      </x:c>
      <x:c r="B36" s="13" t="str">
        <x:v>T9710</x:v>
      </x:c>
      <x:c r="C36" s="14" t="str">
        <x:v>เกศินี สุภะชุณหะ</x:v>
      </x:c>
      <x:c r="D36" s="14" t="str">
        <x:v>Kesinee Supachunha</x:v>
      </x:c>
      <x:c r="E36" s="14" t="str">
        <x:v>จริง</x:v>
      </x:c>
      <x:c r="F36" s="14" t="str">
        <x:v>Kesinee_su@thanulux.com</x:v>
      </x:c>
      <x:c r="G36" s="13" t="str">
        <x:v>2AM04</x:v>
      </x:c>
      <x:c r="H36" s="14" t="str">
        <x:v>ฝ่าย IT</x:v>
      </x:c>
      <x:c r="I36" s="13" t="str">
        <x:v>2AM04</x:v>
      </x:c>
      <x:c r="J36" s="14" t="str">
        <x:v>ฝ่าย IT</x:v>
      </x:c>
      <x:c r="K36" s="13" t="str">
        <x:v>OF002</x:v>
      </x:c>
      <x:c r="L36" s="14" t="str">
        <x:v>Microsoft 365 Business Basic</x:v>
      </x:c>
    </x:row>
    <x:row r="37" ht="21" customHeight="1">
      <x:c r="A37" s="13" t="n">
        <x:v>33</x:v>
      </x:c>
      <x:c r="B37" s="13" t="str">
        <x:v>T9711</x:v>
      </x:c>
      <x:c r="C37" s="14" t="str">
        <x:v>ชนิดา เหล่าประชาสกุล</x:v>
      </x:c>
      <x:c r="D37" s="14" t="str">
        <x:v>Chanida Laoprachasakul</x:v>
      </x:c>
      <x:c r="E37" s="14" t="str">
        <x:v>เก๋</x:v>
      </x:c>
      <x:c r="F37" s="14" t="str">
        <x:v>chanida_la@thanulux.com</x:v>
      </x:c>
      <x:c r="G37" s="13" t="str">
        <x:v>A8111</x:v>
      </x:c>
      <x:c r="H37" s="14" t="str">
        <x:v>ฝ่าย ARROW</x:v>
      </x:c>
      <x:c r="I37" s="13" t="str">
        <x:v>A8111</x:v>
      </x:c>
      <x:c r="J37" s="14" t="str">
        <x:v>ฝ่าย ARROW</x:v>
      </x:c>
      <x:c r="K37" s="13" t="str">
        <x:v>OF002</x:v>
      </x:c>
      <x:c r="L37" s="14" t="str">
        <x:v>Microsoft 365 Business Basic</x:v>
      </x:c>
    </x:row>
    <x:row r="38" ht="21" customHeight="1">
      <x:c r="A38" s="13" t="n">
        <x:v>34</x:v>
      </x:c>
      <x:c r="B38" s="13" t="str">
        <x:v>T9716</x:v>
      </x:c>
      <x:c r="C38" s="14" t="str">
        <x:v>สมยศ ชูเผือก</x:v>
      </x:c>
      <x:c r="D38" s="14" t="str">
        <x:v>Somyos Chupuak</x:v>
      </x:c>
      <x:c r="E38" s="14" t="str">
        <x:v>เปี๊ยก</x:v>
      </x:c>
      <x:c r="F38" s="14" t="str">
        <x:v>Somyos_ch@thanulux.com</x:v>
      </x:c>
      <x:c r="G38" s="13" t="str">
        <x:v>2AM04</x:v>
      </x:c>
      <x:c r="H38" s="14" t="str">
        <x:v>ฝ่าย IT</x:v>
      </x:c>
      <x:c r="I38" s="13" t="str">
        <x:v>2AM04</x:v>
      </x:c>
      <x:c r="J38" s="14" t="str">
        <x:v>ฝ่าย IT</x:v>
      </x:c>
      <x:c r="K38" s="13" t="str">
        <x:v>OF002</x:v>
      </x:c>
      <x:c r="L38" s="14" t="str">
        <x:v>Microsoft 365 Business Basic</x:v>
      </x:c>
    </x:row>
    <x:row r="39" ht="21" customHeight="1">
      <x:c r="A39" s="13" t="n">
        <x:v>35</x:v>
      </x:c>
      <x:c r="B39" s="13" t="str">
        <x:v>T9724</x:v>
      </x:c>
      <x:c r="C39" s="14" t="str">
        <x:v>ณัฐจิตกานต์ รินทา</x:v>
      </x:c>
      <x:c r="D39" s="14" t="str">
        <x:v>Natjittakan Rinta</x:v>
      </x:c>
      <x:c r="E39" s="14" t="str">
        <x:v>นัท</x:v>
      </x:c>
      <x:c r="F39" s="14" t="str">
        <x:v>natjittakan_guy@thanulux.com</x:v>
      </x:c>
      <x:c r="G39" s="13" t="str">
        <x:v>G8111</x:v>
      </x:c>
      <x:c r="H39" s="14" t="str">
        <x:v>ฝ่าย Guy Laroche</x:v>
      </x:c>
      <x:c r="I39" s="13" t="str">
        <x:v>G8111</x:v>
      </x:c>
      <x:c r="J39" s="14" t="str">
        <x:v>ฝ่าย Guy Laroche</x:v>
      </x:c>
      <x:c r="K39" s="13" t="str">
        <x:v>OF002</x:v>
      </x:c>
      <x:c r="L39" s="14" t="str">
        <x:v>Microsoft 365 Business Basic</x:v>
      </x:c>
    </x:row>
    <x:row r="40" ht="21" customHeight="1">
      <x:c r="A40" s="13" t="n">
        <x:v>36</x:v>
      </x:c>
      <x:c r="B40" s="13" t="str">
        <x:v>T9767</x:v>
      </x:c>
      <x:c r="C40" s="14" t="str">
        <x:v>ประทีป สงสนั่น</x:v>
      </x:c>
      <x:c r="D40" s="14" t="str">
        <x:v>Prateep Songsanun</x:v>
      </x:c>
      <x:c r="E40" s="14" t="str">
        <x:v>ทีป</x:v>
      </x:c>
      <x:c r="F40" s="14" t="str">
        <x:v>prateep_so@thanulux.com</x:v>
      </x:c>
      <x:c r="G40" s="13" t="str">
        <x:v>A8111</x:v>
      </x:c>
      <x:c r="H40" s="14" t="str">
        <x:v>ฝ่าย ARROW</x:v>
      </x:c>
      <x:c r="I40" s="13" t="str">
        <x:v>A8111</x:v>
      </x:c>
      <x:c r="J40" s="14" t="str">
        <x:v>ฝ่าย ARROW</x:v>
      </x:c>
      <x:c r="K40" s="13" t="str">
        <x:v>OF002</x:v>
      </x:c>
      <x:c r="L40" s="14" t="str">
        <x:v>Microsoft 365 Business Basic</x:v>
      </x:c>
    </x:row>
    <x:row r="41" ht="21" customHeight="1">
      <x:c r="A41" s="13" t="n">
        <x:v>37</x:v>
      </x:c>
      <x:c r="B41" s="13" t="str">
        <x:v>T9780</x:v>
      </x:c>
      <x:c r="C41" s="14" t="str">
        <x:v>จักรพันธุ์ เสนาไชย</x:v>
      </x:c>
      <x:c r="D41" s="14" t="str">
        <x:v>Jakkaphan Senachai</x:v>
      </x:c>
      <x:c r="E41" s="14" t="str">
        <x:v>เจ</x:v>
      </x:c>
      <x:c r="F41" s="14" t="str">
        <x:v>jakkaphan_se@thanulux.com</x:v>
      </x:c>
      <x:c r="G41" s="13" t="str">
        <x:v>L8111</x:v>
      </x:c>
      <x:c r="H41" s="14" t="str">
        <x:v>เครื่องหนัง GUY LAROCHE</x:v>
      </x:c>
      <x:c r="I41" s="13" t="str">
        <x:v>L8111</x:v>
      </x:c>
      <x:c r="J41" s="14" t="str">
        <x:v>ฝ่ายธุรกิจเครื่องหนังในประเทศ</x:v>
      </x:c>
      <x:c r="K41" s="13" t="str">
        <x:v>OF002</x:v>
      </x:c>
      <x:c r="L41" s="14" t="str">
        <x:v>Microsoft 365 Business Basic</x:v>
      </x:c>
    </x:row>
    <x:row r="42" ht="21" customHeight="1">
      <x:c r="A42" s="13" t="n">
        <x:v>38</x:v>
      </x:c>
      <x:c r="B42" s="13" t="str">
        <x:v>T9790</x:v>
      </x:c>
      <x:c r="C42" s="14" t="str">
        <x:v>วัชราพร จักร์ทิพย์</x:v>
      </x:c>
      <x:c r="D42" s="14" t="str">
        <x:v>Watcharaporn Jakthip</x:v>
      </x:c>
      <x:c r="E42" s="14" t="str">
        <x:v>เก๋</x:v>
      </x:c>
      <x:c r="F42" s="14" t="str">
        <x:v>watcharaporn_guy@thanulux.com</x:v>
      </x:c>
      <x:c r="G42" s="13" t="str">
        <x:v>G8111</x:v>
      </x:c>
      <x:c r="H42" s="14" t="str">
        <x:v>ฝ่าย Guy Laroche</x:v>
      </x:c>
      <x:c r="I42" s="13" t="str">
        <x:v>G8111</x:v>
      </x:c>
      <x:c r="J42" s="14" t="str">
        <x:v>ฝ่าย Guy Laroche</x:v>
      </x:c>
      <x:c r="K42" s="13" t="str">
        <x:v>OF002</x:v>
      </x:c>
      <x:c r="L42" s="14" t="str">
        <x:v>Microsoft 365 Business Basic</x:v>
      </x:c>
    </x:row>
    <x:row r="43" ht="21" customHeight="1">
      <x:c r="A43" s="13" t="n">
        <x:v>39</x:v>
      </x:c>
      <x:c r="B43" s="13" t="str">
        <x:v>T9795</x:v>
      </x:c>
      <x:c r="C43" s="14" t="str">
        <x:v>นพพร ตรัยตรึงศ์โกศล</x:v>
      </x:c>
      <x:c r="D43" s="14" t="str">
        <x:v>Nopporn Traitruengkosol</x:v>
      </x:c>
      <x:c r="E43" s="14" t="str">
        <x:v>บอย</x:v>
      </x:c>
      <x:c r="F43" s="14" t="str">
        <x:v>Nopporn_tr@thanulux.com</x:v>
      </x:c>
      <x:c r="G43" s="13" t="str">
        <x:v>2AM04</x:v>
      </x:c>
      <x:c r="H43" s="14" t="str">
        <x:v>ฝ่าย IT</x:v>
      </x:c>
      <x:c r="I43" s="13" t="str">
        <x:v>2AM04</x:v>
      </x:c>
      <x:c r="J43" s="14" t="str">
        <x:v>ฝ่าย IT</x:v>
      </x:c>
      <x:c r="K43" s="13" t="str">
        <x:v>OF002</x:v>
      </x:c>
      <x:c r="L43" s="14" t="str">
        <x:v>Microsoft 365 Business Basic</x:v>
      </x:c>
    </x:row>
    <x:row r="44" ht="21" customHeight="1">
      <x:c r="A44" s="13" t="n">
        <x:v>40</x:v>
      </x:c>
      <x:c r="B44" s="13" t="str">
        <x:v>T9800</x:v>
      </x:c>
      <x:c r="C44" s="14" t="str">
        <x:v>ศิริพร ธีรภาพวิวัฒน์</x:v>
      </x:c>
      <x:c r="D44" s="14" t="str">
        <x:v>Siriporn Thiraphapwiwat</x:v>
      </x:c>
      <x:c r="E44" s="14" t="str">
        <x:v>พี่พรใหญ่</x:v>
      </x:c>
      <x:c r="F44" s="14" t="str">
        <x:v>Siriporn_t@thanulux.com</x:v>
      </x:c>
      <x:c r="G44" s="13" t="str">
        <x:v>2AM04</x:v>
      </x:c>
      <x:c r="H44" s="14" t="str">
        <x:v>ฝ่าย IT</x:v>
      </x:c>
      <x:c r="I44" s="13" t="str">
        <x:v>2AM04</x:v>
      </x:c>
      <x:c r="J44" s="14" t="str">
        <x:v>ฝ่าย IT</x:v>
      </x:c>
      <x:c r="K44" s="13" t="str">
        <x:v>OF002</x:v>
      </x:c>
      <x:c r="L44" s="14" t="str">
        <x:v>Microsoft 365 Business Basic</x:v>
      </x:c>
    </x:row>
    <x:row r="45" ht="21" customHeight="1">
      <x:c r="A45" s="13" t="n">
        <x:v>41</x:v>
      </x:c>
      <x:c r="B45" s="13" t="str">
        <x:v>T9803</x:v>
      </x:c>
      <x:c r="C45" s="14" t="str">
        <x:v>จันทร์จิรา บุญจามรสกุลรุ่ง</x:v>
      </x:c>
      <x:c r="D45" s="14" t="str">
        <x:v>Chanchira Danprasopsuk</x:v>
      </x:c>
      <x:c r="E45" s="14" t="str">
        <x:v>ฝัน</x:v>
      </x:c>
      <x:c r="F45" s="14" t="str">
        <x:v>Chanchira_da@thanulux.com</x:v>
      </x:c>
      <x:c r="G45" s="13" t="str">
        <x:v>2AM04</x:v>
      </x:c>
      <x:c r="H45" s="14" t="str">
        <x:v>ฝ่าย IT</x:v>
      </x:c>
      <x:c r="I45" s="13" t="str">
        <x:v>2AM04</x:v>
      </x:c>
      <x:c r="J45" s="14" t="str">
        <x:v>ฝ่าย IT</x:v>
      </x:c>
      <x:c r="K45" s="13" t="str">
        <x:v>OF002</x:v>
      </x:c>
      <x:c r="L45" s="14" t="str">
        <x:v>Microsoft 365 Business Basic</x:v>
      </x:c>
    </x:row>
    <x:row r="46" ht="21" customHeight="1">
      <x:c r="A46" s="13" t="n">
        <x:v>42</x:v>
      </x:c>
      <x:c r="B46" s="13" t="str">
        <x:v>T9855</x:v>
      </x:c>
      <x:c r="C46" s="14" t="str">
        <x:v>เสาวลักษณ์ ลาวัณย์รัตนากุล</x:v>
      </x:c>
      <x:c r="D46" s="14" t="str">
        <x:v>Saowaluk Lavanrattanakul</x:v>
      </x:c>
      <x:c r="E46" s="14" t="str">
        <x:v>ส้มโอ</x:v>
      </x:c>
      <x:c r="F46" s="14" t="str">
        <x:v>saowaluk_po@thanulux.com</x:v>
      </x:c>
      <x:c r="G46" s="13" t="str">
        <x:v>I8111</x:v>
      </x:c>
      <x:c r="H46" s="14" t="str">
        <x:v>INNER GUY LAROCHE</x:v>
      </x:c>
      <x:c r="I46" s="13" t="str">
        <x:v>I8111</x:v>
      </x:c>
      <x:c r="J46" s="14" t="str">
        <x:v>ฝ่าย Apparel 2</x:v>
      </x:c>
      <x:c r="K46" s="13" t="str">
        <x:v>OF002</x:v>
      </x:c>
      <x:c r="L46" s="14" t="str">
        <x:v>Microsoft 365 Business Basic</x:v>
      </x:c>
    </x:row>
    <x:row r="47" ht="21" customHeight="1">
      <x:c r="A47" s="13" t="n">
        <x:v>43</x:v>
      </x:c>
      <x:c r="B47" s="13" t="str">
        <x:v>T9861</x:v>
      </x:c>
      <x:c r="C47" s="14" t="str">
        <x:v>พริศา ประชุมทอง</x:v>
      </x:c>
      <x:c r="D47" s="14" t="str">
        <x:v>Pharisa Prachumtong</x:v>
      </x:c>
      <x:c r="E47" s="14" t="str">
        <x:v>ยุ้ย</x:v>
      </x:c>
      <x:c r="F47" s="14" t="str">
        <x:v>pharisa_pr@thanulux.com</x:v>
      </x:c>
      <x:c r="G47" s="13" t="str">
        <x:v>A8111</x:v>
      </x:c>
      <x:c r="H47" s="14" t="str">
        <x:v>ฝ่าย ARROW</x:v>
      </x:c>
      <x:c r="I47" s="13" t="str">
        <x:v>A8111</x:v>
      </x:c>
      <x:c r="J47" s="14" t="str">
        <x:v>ฝ่าย ARROW</x:v>
      </x:c>
      <x:c r="K47" s="13" t="str">
        <x:v>OF002</x:v>
      </x:c>
      <x:c r="L47" s="14" t="str">
        <x:v>Microsoft 365 Business Basic</x:v>
      </x:c>
    </x:row>
    <x:row r="48" ht="21" customHeight="1">
      <x:c r="A48" s="13" t="n">
        <x:v>44</x:v>
      </x:c>
      <x:c r="B48" s="13" t="str">
        <x:v>T9989</x:v>
      </x:c>
      <x:c r="C48" s="14" t="str">
        <x:v>กันทิมา ภู่เจริญ</x:v>
      </x:c>
      <x:c r="D48" s="14" t="str">
        <x:v>Kantima Pujaroen</x:v>
      </x:c>
      <x:c r="E48" s="14" t="str">
        <x:v>กันต์</x:v>
      </x:c>
      <x:c r="F48" s="14" t="str">
        <x:v>kantima_pu@thanulux.com</x:v>
      </x:c>
      <x:c r="G48" s="13" t="str">
        <x:v>L8111</x:v>
      </x:c>
      <x:c r="H48" s="14" t="str">
        <x:v>เครื่องหนัง GUY LAROCHE</x:v>
      </x:c>
      <x:c r="I48" s="13" t="str">
        <x:v>L8111</x:v>
      </x:c>
      <x:c r="J48" s="14" t="str">
        <x:v>ฝ่ายธุรกิจเครื่องหนังในประเทศ</x:v>
      </x:c>
      <x:c r="K48" s="13" t="str">
        <x:v>OF002</x:v>
      </x:c>
      <x:c r="L48" s="14" t="str">
        <x:v>Microsoft 365 Business Basic</x:v>
      </x:c>
    </x:row>
    <x:row r="49" ht="21" customHeight="1">
      <x:c r="A49" s="13" t="n">
        <x:v>45</x:v>
      </x:c>
      <x:c r="B49" s="13" t="str">
        <x:v>TA115</x:v>
      </x:c>
      <x:c r="C49" s="14" t="str">
        <x:v>จิตราภรณ์ เปลวเพลิง</x:v>
      </x:c>
      <x:c r="D49" s="14" t="str">
        <x:v>Jittraporn Plaewpleong</x:v>
      </x:c>
      <x:c r="E49" s="14" t="str">
        <x:v>แป้ง/ลาออก</x:v>
      </x:c>
      <x:c r="F49" s="14" t="str">
        <x:v>jittraporn_pl@thanulux.com</x:v>
      </x:c>
      <x:c r="G49" s="13" t="str">
        <x:v>L8111</x:v>
      </x:c>
      <x:c r="H49" s="14" t="str">
        <x:v>เครื่องหนัง GUY LAROCHE</x:v>
      </x:c>
      <x:c r="I49" s="13" t="str">
        <x:v>L8111</x:v>
      </x:c>
      <x:c r="J49" s="14" t="str">
        <x:v>ฝ่ายธุรกิจเครื่องหนังในประเทศ</x:v>
      </x:c>
      <x:c r="K49" s="13" t="str">
        <x:v>OF002</x:v>
      </x:c>
      <x:c r="L49" s="14" t="str">
        <x:v>Microsoft 365 Business Basic</x:v>
      </x:c>
    </x:row>
    <x:row r="50" ht="21" customHeight="1">
      <x:c r="A50" s="13" t="n">
        <x:v>46</x:v>
      </x:c>
      <x:c r="B50" s="13" t="str">
        <x:v>TA193</x:v>
      </x:c>
      <x:c r="C50" s="14" t="str">
        <x:v>นิศากร พลายงาม</x:v>
      </x:c>
      <x:c r="D50" s="14" t="str">
        <x:v>Nisakorn Phlayngam</x:v>
      </x:c>
      <x:c r="E50" s="14" t="str">
        <x:v>ก๊อฟ</x:v>
      </x:c>
      <x:c r="F50" s="14" t="str">
        <x:v>nisakorn_ph@thanulux.com</x:v>
      </x:c>
      <x:c r="G50" s="13" t="str">
        <x:v>L8111</x:v>
      </x:c>
      <x:c r="H50" s="14" t="str">
        <x:v>เครื่องหนัง GUY LAROCHE</x:v>
      </x:c>
      <x:c r="I50" s="13" t="str">
        <x:v>L8111</x:v>
      </x:c>
      <x:c r="J50" s="14" t="str">
        <x:v>ฝ่ายธุรกิจเครื่องหนังในประเทศ</x:v>
      </x:c>
      <x:c r="K50" s="13" t="str">
        <x:v>OF002</x:v>
      </x:c>
      <x:c r="L50" s="14" t="str">
        <x:v>Microsoft 365 Business Basic</x:v>
      </x:c>
    </x:row>
    <x:row r="51" ht="21" customHeight="1">
      <x:c r="A51" s="13" t="n">
        <x:v>47</x:v>
      </x:c>
      <x:c r="B51" s="13" t="str">
        <x:v>TA233</x:v>
      </x:c>
      <x:c r="C51" s="14" t="str">
        <x:v>ธัญชนก ทองปอน</x:v>
      </x:c>
      <x:c r="D51" s="14" t="str">
        <x:v>Thanchanok Tongpon</x:v>
      </x:c>
      <x:c r="E51" s="14" t="str">
        <x:v>นุ่น</x:v>
      </x:c>
      <x:c r="F51" s="14" t="str">
        <x:v>thanchanok_si@thanulux.com</x:v>
      </x:c>
      <x:c r="G51" s="13" t="str">
        <x:v>A8111</x:v>
      </x:c>
      <x:c r="H51" s="14" t="str">
        <x:v>ฝ่าย ARROW</x:v>
      </x:c>
      <x:c r="I51" s="13" t="str">
        <x:v>A8111</x:v>
      </x:c>
      <x:c r="J51" s="14" t="str">
        <x:v>ฝ่าย ARROW</x:v>
      </x:c>
      <x:c r="K51" s="13" t="str">
        <x:v>OF002</x:v>
      </x:c>
      <x:c r="L51" s="14" t="str">
        <x:v>Microsoft 365 Business Basic</x:v>
      </x:c>
    </x:row>
    <x:row r="52" ht="21" customHeight="1">
      <x:c r="A52" s="13" t="n">
        <x:v>48</x:v>
      </x:c>
      <x:c r="B52" s="13" t="str">
        <x:v>TA250</x:v>
      </x:c>
      <x:c r="C52" s="14" t="str">
        <x:v>ธนัช ศรีพรหม</x:v>
      </x:c>
      <x:c r="D52" s="14" t="str">
        <x:v>Thanat Sriprom</x:v>
      </x:c>
      <x:c r="E52" s="14" t="str">
        <x:v>เบียร์</x:v>
      </x:c>
      <x:c r="F52" s="14" t="str">
        <x:v>thanat_sr@thanulux.com</x:v>
      </x:c>
      <x:c r="G52" s="13" t="str">
        <x:v>G8111</x:v>
      </x:c>
      <x:c r="H52" s="14" t="str">
        <x:v>ฝ่าย Guy Laroche</x:v>
      </x:c>
      <x:c r="I52" s="13" t="str">
        <x:v>G8111</x:v>
      </x:c>
      <x:c r="J52" s="14" t="str">
        <x:v>ฝ่าย Guy Laroche</x:v>
      </x:c>
      <x:c r="K52" s="13" t="str">
        <x:v>OF002</x:v>
      </x:c>
      <x:c r="L52" s="14" t="str">
        <x:v>Microsoft 365 Business Basic</x:v>
      </x:c>
    </x:row>
    <x:row r="53" ht="21" customHeight="1">
      <x:c r="A53" s="13" t="n">
        <x:v>49</x:v>
      </x:c>
      <x:c r="B53" s="13" t="str">
        <x:v>TA361</x:v>
      </x:c>
      <x:c r="C53" s="14" t="str">
        <x:v>ศิริกุล งอกเงย</x:v>
      </x:c>
      <x:c r="D53" s="14" t="str">
        <x:v>Sirikul Ngockngoei</x:v>
      </x:c>
      <x:c r="E53" s="14" t="str">
        <x:v>เอ/ลาออก</x:v>
      </x:c>
      <x:c r="F53" s="14" t="str">
        <x:v>sirikul_ng@thanulux.com</x:v>
      </x:c>
      <x:c r="G53" s="13" t="str">
        <x:v>L8111</x:v>
      </x:c>
      <x:c r="H53" s="14" t="str">
        <x:v>เครื่องหนัง GUY LAROCHE</x:v>
      </x:c>
      <x:c r="I53" s="13" t="str">
        <x:v>L8111</x:v>
      </x:c>
      <x:c r="J53" s="14" t="str">
        <x:v>ฝ่ายธุรกิจเครื่องหนังในประเทศ</x:v>
      </x:c>
      <x:c r="K53" s="13" t="str">
        <x:v>OF002</x:v>
      </x:c>
      <x:c r="L53" s="14" t="str">
        <x:v>Microsoft 365 Business Basic</x:v>
      </x:c>
    </x:row>
    <x:row r="54" ht="21" customHeight="1">
      <x:c r="A54" s="13" t="n">
        <x:v>50</x:v>
      </x:c>
      <x:c r="B54" s="13" t="str">
        <x:v>TA416</x:v>
      </x:c>
      <x:c r="C54" s="14" t="str">
        <x:v>นิสษา สอิ๊ดประเสริฐ</x:v>
      </x:c>
      <x:c r="D54" s="14" t="str">
        <x:v>Nissa Sareidprasert</x:v>
      </x:c>
      <x:c r="E54" s="14" t="str">
        <x:v>เอ</x:v>
      </x:c>
      <x:c r="F54" s="14" t="str">
        <x:v>Nissa_sa@thanulux.com</x:v>
      </x:c>
      <x:c r="G54" s="13" t="str">
        <x:v>A8111</x:v>
      </x:c>
      <x:c r="H54" s="14" t="str">
        <x:v>ฝ่าย ARROW</x:v>
      </x:c>
      <x:c r="I54" s="13" t="str">
        <x:v>A8111</x:v>
      </x:c>
      <x:c r="J54" s="14" t="str">
        <x:v>ฝ่าย ARROW</x:v>
      </x:c>
      <x:c r="K54" s="13" t="str">
        <x:v>OF002</x:v>
      </x:c>
      <x:c r="L54" s="14" t="str">
        <x:v>Microsoft 365 Business Basic</x:v>
      </x:c>
    </x:row>
    <x:row r="55" ht="21" customHeight="1">
      <x:c r="A55" s="13" t="n">
        <x:v>51</x:v>
      </x:c>
      <x:c r="B55" s="13" t="str">
        <x:v>TA446</x:v>
      </x:c>
      <x:c r="C55" s="14" t="str">
        <x:v>ชุตาภรณ์ เข็มราช</x:v>
      </x:c>
      <x:c r="D55" s="14" t="str">
        <x:v>chutaporn Khemrach</x:v>
      </x:c>
      <x:c r="E55" s="14" t="str">
        <x:v>ป่าน</x:v>
      </x:c>
      <x:c r="F55" s="14" t="str">
        <x:v>chutaporn_kh@thanulux.com</x:v>
      </x:c>
      <x:c r="G55" s="13" t="str">
        <x:v>A8111</x:v>
      </x:c>
      <x:c r="H55" s="14" t="str">
        <x:v>ฝ่าย ARROW</x:v>
      </x:c>
      <x:c r="I55" s="13" t="str">
        <x:v>A8111</x:v>
      </x:c>
      <x:c r="J55" s="14" t="str">
        <x:v>ฝ่าย ARROW</x:v>
      </x:c>
      <x:c r="K55" s="13" t="str">
        <x:v>OF002</x:v>
      </x:c>
      <x:c r="L55" s="14" t="str">
        <x:v>Microsoft 365 Business Basic</x:v>
      </x:c>
    </x:row>
    <x:row r="56" ht="21" customHeight="1">
      <x:c r="A56" s="13" t="n">
        <x:v>52</x:v>
      </x:c>
      <x:c r="B56" s="13" t="str">
        <x:v>TA450</x:v>
      </x:c>
      <x:c r="C56" s="14" t="str">
        <x:v>บุณยทิยพ์ หวู</x:v>
      </x:c>
      <x:c r="D56" s="14" t="str">
        <x:v>Boonyathip Wu</x:v>
      </x:c>
      <x:c r="E56" s="14" t="str">
        <x:v>ครีม/ลาออก</x:v>
      </x:c>
      <x:c r="F56" s="14" t="str">
        <x:v>Boonyathip_wu@thanulux.com</x:v>
      </x:c>
      <x:c r="G56" s="13" t="str">
        <x:v>A8111</x:v>
      </x:c>
      <x:c r="H56" s="14" t="str">
        <x:v>ฝ่าย ARROW</x:v>
      </x:c>
      <x:c r="I56" s="13" t="str">
        <x:v>A8111</x:v>
      </x:c>
      <x:c r="J56" s="14" t="str">
        <x:v>ฝ่าย ARROW</x:v>
      </x:c>
      <x:c r="K56" s="13" t="str">
        <x:v>OF002</x:v>
      </x:c>
      <x:c r="L56" s="14" t="str">
        <x:v>Microsoft 365 Business Basic</x:v>
      </x:c>
    </x:row>
    <x:row r="57" ht="21" customHeight="1">
      <x:c r="A57" s="13" t="n">
        <x:v>53</x:v>
      </x:c>
      <x:c r="B57" s="13" t="str">
        <x:v>TA451</x:v>
      </x:c>
      <x:c r="C57" s="14" t="str">
        <x:v>ณัฐณิชาช์ หาญยุทธ</x:v>
      </x:c>
      <x:c r="D57" s="14" t="str">
        <x:v>Natnicha Hanyut</x:v>
      </x:c>
      <x:c r="E57" s="14" t="str">
        <x:v>โพย/ลาออก</x:v>
      </x:c>
      <x:c r="F57" s="14" t="str">
        <x:v>natnicha_ha@thanulux.com</x:v>
      </x:c>
      <x:c r="G57" s="13" t="str">
        <x:v>H8111</x:v>
      </x:c>
      <x:c r="H57" s="14" t="str">
        <x:v>House Brand</x:v>
      </x:c>
      <x:c r="I57" s="13" t="str">
        <x:v>H8111</x:v>
      </x:c>
      <x:c r="J57" s="14" t="str"/>
      <x:c r="K57" s="13" t="str">
        <x:v>OF002</x:v>
      </x:c>
      <x:c r="L57" s="14" t="str">
        <x:v>Microsoft 365 Business Basic</x:v>
      </x:c>
    </x:row>
    <x:row r="58" ht="21" customHeight="1">
      <x:c r="A58" s="13" t="n">
        <x:v>54</x:v>
      </x:c>
      <x:c r="B58" s="13" t="str">
        <x:v>TA453</x:v>
      </x:c>
      <x:c r="C58" s="14" t="str">
        <x:v>ชนิตา พานิชเจริญ</x:v>
      </x:c>
      <x:c r="D58" s="14" t="str">
        <x:v>Chanita Panicharoen</x:v>
      </x:c>
      <x:c r="E58" s="14" t="str">
        <x:v>นุ่น</x:v>
      </x:c>
      <x:c r="F58" s="14" t="str">
        <x:v>chanita_pa@thanulux.com</x:v>
      </x:c>
      <x:c r="G58" s="13" t="str">
        <x:v>G8111</x:v>
      </x:c>
      <x:c r="H58" s="14" t="str">
        <x:v>ฝ่าย Guy Laroche</x:v>
      </x:c>
      <x:c r="I58" s="13" t="str">
        <x:v>G8111</x:v>
      </x:c>
      <x:c r="J58" s="14" t="str">
        <x:v>ฝ่าย Guy Laroche</x:v>
      </x:c>
      <x:c r="K58" s="13" t="str">
        <x:v>OF002</x:v>
      </x:c>
      <x:c r="L58" s="14" t="str">
        <x:v>Microsoft 365 Business Basic</x:v>
      </x:c>
    </x:row>
    <x:row r="59" ht="21" customHeight="1">
      <x:c r="A59" s="13" t="n">
        <x:v>55</x:v>
      </x:c>
      <x:c r="B59" s="13" t="str">
        <x:v>TA469</x:v>
      </x:c>
      <x:c r="C59" s="14" t="str">
        <x:v>ธนะวินทร์ ธนนท์จิรานันท์</x:v>
      </x:c>
      <x:c r="D59" s="14" t="str">
        <x:v>Thanawin Thanontjiranan</x:v>
      </x:c>
      <x:c r="E59" s="14" t="str">
        <x:v>เอก</x:v>
      </x:c>
      <x:c r="F59" s="14" t="str">
        <x:v>thanawin_th@thanulux.com</x:v>
      </x:c>
      <x:c r="G59" s="13" t="str">
        <x:v>A8111</x:v>
      </x:c>
      <x:c r="H59" s="14" t="str">
        <x:v>ฝ่าย ARROW</x:v>
      </x:c>
      <x:c r="I59" s="13" t="str">
        <x:v>A8111</x:v>
      </x:c>
      <x:c r="J59" s="14" t="str">
        <x:v>ฝ่าย ARROW</x:v>
      </x:c>
      <x:c r="K59" s="13" t="str">
        <x:v>OF002</x:v>
      </x:c>
      <x:c r="L59" s="14" t="str">
        <x:v>Microsoft 365 Business Basic</x:v>
      </x:c>
    </x:row>
    <x:row r="60" ht="21" customHeight="1">
      <x:c r="A60" s="13" t="n">
        <x:v>56</x:v>
      </x:c>
      <x:c r="B60" s="13" t="str">
        <x:v>TA472</x:v>
      </x:c>
      <x:c r="C60" s="14" t="str">
        <x:v>บุญฑริกา ปุริเส</x:v>
      </x:c>
      <x:c r="D60" s="14" t="str">
        <x:v>Buntharika</x:v>
      </x:c>
      <x:c r="E60" s="14" t="str">
        <x:v>เล็ก/ลาออก</x:v>
      </x:c>
      <x:c r="F60" s="14" t="str">
        <x:v>buntharika_pur@thanulux.com</x:v>
      </x:c>
      <x:c r="G60" s="13" t="str">
        <x:v>L8111</x:v>
      </x:c>
      <x:c r="H60" s="14" t="str">
        <x:v>เครื่องหนัง GUY LAROCHE</x:v>
      </x:c>
      <x:c r="I60" s="13" t="str">
        <x:v>L8111</x:v>
      </x:c>
      <x:c r="J60" s="14" t="str">
        <x:v>ฝ่ายธุรกิจเครื่องหนังในประเทศ</x:v>
      </x:c>
      <x:c r="K60" s="13" t="str">
        <x:v>OF002</x:v>
      </x:c>
      <x:c r="L60" s="14" t="str">
        <x:v>Microsoft 365 Business Basic</x:v>
      </x:c>
    </x:row>
    <x:row r="61" ht="21" customHeight="1">
      <x:c r="A61" s="13" t="n">
        <x:v>57</x:v>
      </x:c>
      <x:c r="B61" s="13" t="str">
        <x:v>TA473</x:v>
      </x:c>
      <x:c r="C61" s="14" t="str">
        <x:v>วัฒน์ชานนท์ วัฒนสิทธิ์กุล</x:v>
      </x:c>
      <x:c r="D61" s="14" t="str">
        <x:v>watchanon_wat</x:v>
      </x:c>
      <x:c r="E61" s="14" t="str">
        <x:v>เท็น</x:v>
      </x:c>
      <x:c r="F61" s="14" t="str">
        <x:v>watchanon_wat@thanulux.com</x:v>
      </x:c>
      <x:c r="G61" s="13" t="str">
        <x:v>A8111</x:v>
      </x:c>
      <x:c r="H61" s="14" t="str">
        <x:v>ฝ่าย ARROW</x:v>
      </x:c>
      <x:c r="I61" s="13" t="str">
        <x:v>A8111</x:v>
      </x:c>
      <x:c r="J61" s="14" t="str">
        <x:v>ฝ่าย ARROW</x:v>
      </x:c>
      <x:c r="K61" s="13" t="str">
        <x:v>OF002</x:v>
      </x:c>
      <x:c r="L61" s="14" t="str">
        <x:v>Microsoft 365 Business Basic</x:v>
      </x:c>
    </x:row>
    <x:row r="62" ht="21" customHeight="1">
      <x:c r="A62" s="13" t="n">
        <x:v>58</x:v>
      </x:c>
      <x:c r="B62" s="13" t="str">
        <x:v>TA474</x:v>
      </x:c>
      <x:c r="C62" s="14" t="str">
        <x:v>ระพีพรรณ์ ธรรมมิยะ</x:v>
      </x:c>
      <x:c r="D62" s="14" t="str">
        <x:v>Rapeephan_th</x:v>
      </x:c>
      <x:c r="E62" s="14" t="str">
        <x:v>ป๋อม</x:v>
      </x:c>
      <x:c r="F62" s="14" t="str">
        <x:v>rapeephan_th@thanulux.com</x:v>
      </x:c>
      <x:c r="G62" s="13" t="str">
        <x:v>G8111</x:v>
      </x:c>
      <x:c r="H62" s="14" t="str">
        <x:v>ฝ่าย Guy Laroche</x:v>
      </x:c>
      <x:c r="I62" s="13" t="str">
        <x:v>G8111</x:v>
      </x:c>
      <x:c r="J62" s="14" t="str">
        <x:v>ฝ่าย Guy Laroche</x:v>
      </x:c>
      <x:c r="K62" s="13" t="str">
        <x:v>OF002</x:v>
      </x:c>
      <x:c r="L62" s="14" t="str">
        <x:v>Microsoft 365 Business Basic</x:v>
      </x:c>
    </x:row>
    <x:row r="63" ht="21" customHeight="1">
      <x:c r="A63" s="13" t="n">
        <x:v>59</x:v>
      </x:c>
      <x:c r="B63" s="13" t="str">
        <x:v>TA475</x:v>
      </x:c>
      <x:c r="C63" s="14" t="str">
        <x:v>จันทิมา แก้วพลอย</x:v>
      </x:c>
      <x:c r="D63" s="14" t="str">
        <x:v>jantima.kae</x:v>
      </x:c>
      <x:c r="E63" s="14" t="str">
        <x:v>ตุ๊กตา</x:v>
      </x:c>
      <x:c r="F63" s="14" t="str">
        <x:v>jantima.kae@thanulux.com</x:v>
      </x:c>
      <x:c r="G63" s="13" t="str">
        <x:v>A8111</x:v>
      </x:c>
      <x:c r="H63" s="14" t="str">
        <x:v>ฝ่าย ARROW</x:v>
      </x:c>
      <x:c r="I63" s="13" t="str">
        <x:v>A8111</x:v>
      </x:c>
      <x:c r="J63" s="14" t="str">
        <x:v>ฝ่าย ARROW</x:v>
      </x:c>
      <x:c r="K63" s="13" t="str">
        <x:v>OF002</x:v>
      </x:c>
      <x:c r="L63" s="14" t="str">
        <x:v>Microsoft 365 Business Basic</x:v>
      </x:c>
    </x:row>
    <x:row r="64" ht="21" customHeight="1">
      <x:c r="A64" s="13" t="n">
        <x:v>60</x:v>
      </x:c>
      <x:c r="B64" s="13" t="str">
        <x:v>TA476</x:v>
      </x:c>
      <x:c r="C64" s="14" t="str">
        <x:v>ดารณี ไอศุริยวงศ์</x:v>
      </x:c>
      <x:c r="D64" s="14" t="str">
        <x:v>Daranee Isuriyawong</x:v>
      </x:c>
      <x:c r="E64" s="14" t="str">
        <x:v>หญิง</x:v>
      </x:c>
      <x:c r="F64" s="14" t="str">
        <x:v>daranee.isu@thanulux.com</x:v>
      </x:c>
      <x:c r="G64" s="13" t="str">
        <x:v>A8111</x:v>
      </x:c>
      <x:c r="H64" s="14" t="str">
        <x:v>ฝ่าย ARROW</x:v>
      </x:c>
      <x:c r="I64" s="13" t="str">
        <x:v>A8111</x:v>
      </x:c>
      <x:c r="J64" s="14" t="str">
        <x:v>ฝ่าย ARROW</x:v>
      </x:c>
      <x:c r="K64" s="13" t="str">
        <x:v>OF002</x:v>
      </x:c>
      <x:c r="L64" s="14" t="str">
        <x:v>Microsoft 365 Business Basic</x:v>
      </x:c>
    </x:row>
    <x:row r="65" ht="21" customHeight="1">
      <x:c r="A65" s="13" t="n">
        <x:v>61</x:v>
      </x:c>
      <x:c r="B65" s="13" t="str">
        <x:v>TA479</x:v>
      </x:c>
      <x:c r="C65" s="14" t="str">
        <x:v>สนธยา ศรีไทยวัฒนา</x:v>
      </x:c>
      <x:c r="D65" s="14" t="str">
        <x:v>Sonthaya Srithaiwattana</x:v>
      </x:c>
      <x:c r="E65" s="14" t="str">
        <x:v>เจี๊ยบ</x:v>
      </x:c>
      <x:c r="F65" s="14" t="str">
        <x:v>sonthaya_sr@thanulux.com</x:v>
      </x:c>
      <x:c r="G65" s="13" t="str">
        <x:v>L8111</x:v>
      </x:c>
      <x:c r="H65" s="14" t="str">
        <x:v>เครื่องหนัง GUY LAROCHE</x:v>
      </x:c>
      <x:c r="I65" s="13" t="str">
        <x:v>L8111</x:v>
      </x:c>
      <x:c r="J65" s="14" t="str">
        <x:v>ฝ่ายธุรกิจเครื่องหนังในประเทศ</x:v>
      </x:c>
      <x:c r="K65" s="13" t="str">
        <x:v>OF002</x:v>
      </x:c>
      <x:c r="L65" s="14" t="str">
        <x:v>Microsoft 365 Business Basic</x:v>
      </x:c>
    </x:row>
    <x:row r="66" ht="21" customHeight="1">
      <x:c r="A66" s="13" t="n">
        <x:v>62</x:v>
      </x:c>
      <x:c r="B66" s="13" t="str">
        <x:v>TA480</x:v>
      </x:c>
      <x:c r="C66" s="14" t="str">
        <x:v>ณัฐสุดา เปี่ยมขำดี</x:v>
      </x:c>
      <x:c r="D66" s="14" t="str">
        <x:v>nutsuda_pe</x:v>
      </x:c>
      <x:c r="E66" s="14" t="str">
        <x:v>ตาล</x:v>
      </x:c>
      <x:c r="F66" s="14" t="str">
        <x:v>nutsuda_pe@thanulux.com</x:v>
      </x:c>
      <x:c r="G66" s="13" t="str">
        <x:v>A8111</x:v>
      </x:c>
      <x:c r="H66" s="14" t="str">
        <x:v>ฝ่าย ARROW</x:v>
      </x:c>
      <x:c r="I66" s="13" t="str">
        <x:v>A8111</x:v>
      </x:c>
      <x:c r="J66" s="14" t="str">
        <x:v>ฝ่าย ARROW</x:v>
      </x:c>
      <x:c r="K66" s="13" t="str">
        <x:v>OF002</x:v>
      </x:c>
      <x:c r="L66" s="14" t="str">
        <x:v>Microsoft 365 Business Basic</x:v>
      </x:c>
    </x:row>
    <x:row r="67" ht="21" customHeight="1">
      <x:c r="A67" s="13" t="n">
        <x:v>63</x:v>
      </x:c>
      <x:c r="B67" s="13" t="str">
        <x:v>TA483</x:v>
      </x:c>
      <x:c r="C67" s="14" t="str">
        <x:v>คทายุทธ์ บุญสุข</x:v>
      </x:c>
      <x:c r="D67" s="14" t="str">
        <x:v>Katayut Bonsuk</x:v>
      </x:c>
      <x:c r="E67" s="14" t="str">
        <x:v>ยุทธ</x:v>
      </x:c>
      <x:c r="F67" s="14" t="str">
        <x:v>katayut_bo@thanulux.com</x:v>
      </x:c>
      <x:c r="G67" s="13" t="str">
        <x:v>A8111</x:v>
      </x:c>
      <x:c r="H67" s="14" t="str">
        <x:v>ฝ่าย ARROW</x:v>
      </x:c>
      <x:c r="I67" s="13" t="str">
        <x:v>A8111</x:v>
      </x:c>
      <x:c r="J67" s="14" t="str">
        <x:v>ฝ่าย ARROW</x:v>
      </x:c>
      <x:c r="K67" s="13" t="str">
        <x:v>OF002</x:v>
      </x:c>
      <x:c r="L67" s="14" t="str">
        <x:v>Microsoft 365 Business Basic</x:v>
      </x:c>
    </x:row>
    <x:row r="68" ht="21" customHeight="1">
      <x:c r="A68" s="13" t="n">
        <x:v>64</x:v>
      </x:c>
      <x:c r="B68" s="13" t="str">
        <x:v>TA486</x:v>
      </x:c>
      <x:c r="C68" s="14" t="str">
        <x:v>ทักษอร สันทศนะสุวรรณ</x:v>
      </x:c>
      <x:c r="D68" s="14" t="str">
        <x:v>Taksaon Santasanasuwan</x:v>
      </x:c>
      <x:c r="E68" s="14" t="str">
        <x:v>โบว์</x:v>
      </x:c>
      <x:c r="F68" s="14" t="str">
        <x:v>taksaon.san@thanulux.com</x:v>
      </x:c>
      <x:c r="G68" s="13" t="str">
        <x:v>A8111</x:v>
      </x:c>
      <x:c r="H68" s="14" t="str">
        <x:v>ฝ่าย ARROW</x:v>
      </x:c>
      <x:c r="I68" s="13" t="str">
        <x:v>A8111</x:v>
      </x:c>
      <x:c r="J68" s="14" t="str">
        <x:v>ฝ่าย ARROW</x:v>
      </x:c>
      <x:c r="K68" s="13" t="str">
        <x:v>OF002</x:v>
      </x:c>
      <x:c r="L68" s="14" t="str">
        <x:v>Microsoft 365 Business Basic</x:v>
      </x:c>
    </x:row>
    <x:row r="69" ht="21" customHeight="1">
      <x:c r="A69" s="13" t="n">
        <x:v>65</x:v>
      </x:c>
      <x:c r="B69" s="13" t="str">
        <x:v>TA488</x:v>
      </x:c>
      <x:c r="C69" s="14" t="str">
        <x:v>กิตติศักดิ์ จินากุล</x:v>
      </x:c>
      <x:c r="D69" s="14" t="str">
        <x:v>Kittisak Jinnakul</x:v>
      </x:c>
      <x:c r="E69" s="14" t="str">
        <x:v>เบิร์ด</x:v>
      </x:c>
      <x:c r="F69" s="14" t="str">
        <x:v>kittisak_ji@thanulux.com</x:v>
      </x:c>
      <x:c r="G69" s="13" t="str">
        <x:v>G8111</x:v>
      </x:c>
      <x:c r="H69" s="14" t="str">
        <x:v>ฝ่าย Guy Laroche</x:v>
      </x:c>
      <x:c r="I69" s="13" t="str">
        <x:v>G8111</x:v>
      </x:c>
      <x:c r="J69" s="14" t="str">
        <x:v>ฝ่าย Guy Laroche</x:v>
      </x:c>
      <x:c r="K69" s="13" t="str">
        <x:v>OF002</x:v>
      </x:c>
      <x:c r="L69" s="14" t="str">
        <x:v>Microsoft 365 Business Basic</x:v>
      </x:c>
    </x:row>
    <x:row r="70" ht="21" customHeight="1">
      <x:c r="A70" s="13" t="n">
        <x:v>66</x:v>
      </x:c>
      <x:c r="B70" s="13" t="str">
        <x:v>TA498</x:v>
      </x:c>
      <x:c r="C70" s="14" t="str">
        <x:v>ทัตเทพ ตรีมงคล</x:v>
      </x:c>
      <x:c r="D70" s="14" t="str">
        <x:v>Thatthep Tremongkon</x:v>
      </x:c>
      <x:c r="E70" s="14" t="str">
        <x:v>เทอร์โบ</x:v>
      </x:c>
      <x:c r="F70" s="14" t="str">
        <x:v>thatthep_tr@thanulux.com</x:v>
      </x:c>
      <x:c r="G70" s="13" t="str">
        <x:v>2AM04</x:v>
      </x:c>
      <x:c r="H70" s="14" t="str">
        <x:v>ฝ่าย IT</x:v>
      </x:c>
      <x:c r="I70" s="13" t="str">
        <x:v>2AM04</x:v>
      </x:c>
      <x:c r="J70" s="14" t="str">
        <x:v>ฝ่าย IT</x:v>
      </x:c>
      <x:c r="K70" s="13" t="str">
        <x:v>OF002</x:v>
      </x:c>
      <x:c r="L70" s="14" t="str">
        <x:v>Microsoft 365 Business Basic</x:v>
      </x:c>
    </x:row>
    <x:row r="71" ht="21" customHeight="1">
      <x:c r="A71" s="13" t="n">
        <x:v>67</x:v>
      </x:c>
      <x:c r="B71" s="13" t="str">
        <x:v>TA500</x:v>
      </x:c>
      <x:c r="C71" s="14" t="str">
        <x:v>นุจนาฏ ปรองพิมาย</x:v>
      </x:c>
      <x:c r="D71" s="14" t="str">
        <x:v>Nudjanart Prongpimai</x:v>
      </x:c>
      <x:c r="E71" s="14" t="str">
        <x:v>อั้ม</x:v>
      </x:c>
      <x:c r="F71" s="14" t="str">
        <x:v>nudjanart_pro@thanulux.com</x:v>
      </x:c>
      <x:c r="G71" s="13" t="str">
        <x:v>A8111</x:v>
      </x:c>
      <x:c r="H71" s="14" t="str">
        <x:v>ฝ่าย ARROW</x:v>
      </x:c>
      <x:c r="I71" s="13" t="str">
        <x:v>A8111</x:v>
      </x:c>
      <x:c r="J71" s="14" t="str">
        <x:v>ฝ่าย ARROW</x:v>
      </x:c>
      <x:c r="K71" s="13" t="str">
        <x:v>OF002</x:v>
      </x:c>
      <x:c r="L71" s="14" t="str">
        <x:v>Microsoft 365 Business Basic</x:v>
      </x:c>
    </x:row>
    <x:row r="72" ht="21" customHeight="1">
      <x:c r="A72" s="13" t="n">
        <x:v>68</x:v>
      </x:c>
      <x:c r="B72" s="13" t="str">
        <x:v>TA501</x:v>
      </x:c>
      <x:c r="C72" s="14" t="str">
        <x:v>สุนิสา แก้วอุดม</x:v>
      </x:c>
      <x:c r="D72" s="14" t="str">
        <x:v>Sunisa Kaewudom</x:v>
      </x:c>
      <x:c r="E72" s="14" t="str">
        <x:v>ตุ๊กติ๊ก</x:v>
      </x:c>
      <x:c r="F72" s="14" t="str">
        <x:v>sunisa_ka@thanulux.com</x:v>
      </x:c>
      <x:c r="G72" s="13" t="str">
        <x:v>G8111</x:v>
      </x:c>
      <x:c r="H72" s="14" t="str">
        <x:v>ฝ่าย Guy Laroche</x:v>
      </x:c>
      <x:c r="I72" s="13" t="str">
        <x:v>G8111</x:v>
      </x:c>
      <x:c r="J72" s="14" t="str">
        <x:v>ฝ่าย Guy Laroche</x:v>
      </x:c>
      <x:c r="K72" s="13" t="str">
        <x:v>OF002</x:v>
      </x:c>
      <x:c r="L72" s="14" t="str">
        <x:v>Microsoft 365 Business Basic</x:v>
      </x:c>
    </x:row>
    <x:row r="73" ht="21" customHeight="1">
      <x:c r="A73" s="13" t="n">
        <x:v>69</x:v>
      </x:c>
      <x:c r="B73" s="13" t="str">
        <x:v>TA502</x:v>
      </x:c>
      <x:c r="C73" s="14" t="str">
        <x:v>พิชัย มาตุภูมานนท์</x:v>
      </x:c>
      <x:c r="D73" s="14" t="str">
        <x:v>Pichai Matupumanon</x:v>
      </x:c>
      <x:c r="E73" s="14" t="str">
        <x:v>พอร์ช/ลาออก</x:v>
      </x:c>
      <x:c r="F73" s="14" t="str">
        <x:v>pichai_ma@thanulux.com</x:v>
      </x:c>
      <x:c r="G73" s="13" t="str">
        <x:v>A8111</x:v>
      </x:c>
      <x:c r="H73" s="14" t="str">
        <x:v>ฝ่าย ARROW</x:v>
      </x:c>
      <x:c r="I73" s="13" t="str">
        <x:v>A8111</x:v>
      </x:c>
      <x:c r="J73" s="14" t="str">
        <x:v>ฝ่าย ARROW</x:v>
      </x:c>
      <x:c r="K73" s="13" t="str">
        <x:v>OF002</x:v>
      </x:c>
      <x:c r="L73" s="14" t="str">
        <x:v>Microsoft 365 Business Basic</x:v>
      </x:c>
    </x:row>
    <x:row r="74" ht="21" customHeight="1">
      <x:c r="A74" s="13" t="n">
        <x:v>70</x:v>
      </x:c>
      <x:c r="B74" s="13" t="str">
        <x:v>TA505</x:v>
      </x:c>
      <x:c r="C74" s="14" t="str">
        <x:v>ณัฐกาญจน์ ทวีรติธรรม</x:v>
      </x:c>
      <x:c r="D74" s="14" t="str">
        <x:v>Nattakarn Taweeratitham</x:v>
      </x:c>
      <x:c r="E74" s="14" t="str">
        <x:v>หมวย/ลาออก</x:v>
      </x:c>
      <x:c r="F74" s="14" t="str">
        <x:v>nattakarn_ta@thanulux.com</x:v>
      </x:c>
      <x:c r="G74" s="13" t="str">
        <x:v>A8111</x:v>
      </x:c>
      <x:c r="H74" s="14" t="str">
        <x:v>ฝ่าย ARROW</x:v>
      </x:c>
      <x:c r="I74" s="13" t="str">
        <x:v>A8111</x:v>
      </x:c>
      <x:c r="J74" s="14" t="str">
        <x:v>ฝ่าย ARROW</x:v>
      </x:c>
      <x:c r="K74" s="13" t="str">
        <x:v>OF002</x:v>
      </x:c>
      <x:c r="L74" s="14" t="str">
        <x:v>Microsoft 365 Business Basic</x:v>
      </x:c>
    </x:row>
    <x:row r="75" ht="21" customHeight="1">
      <x:c r="A75" s="13" t="n">
        <x:v>71</x:v>
      </x:c>
      <x:c r="B75" s="13" t="str">
        <x:v>TA507</x:v>
      </x:c>
      <x:c r="C75" s="14" t="str">
        <x:v>บดี นาถนิติธาดา</x:v>
      </x:c>
      <x:c r="D75" s="14" t="str">
        <x:v>Bordee Natnititada</x:v>
      </x:c>
      <x:c r="E75" s="14" t="str">
        <x:v>ฟู/ลาออก</x:v>
      </x:c>
      <x:c r="F75" s="14" t="str">
        <x:v>bordee_na@thanulux.com</x:v>
      </x:c>
      <x:c r="G75" s="13" t="str">
        <x:v>A8111</x:v>
      </x:c>
      <x:c r="H75" s="14" t="str">
        <x:v>ฝ่าย ARROW</x:v>
      </x:c>
      <x:c r="I75" s="13" t="str">
        <x:v>A8111</x:v>
      </x:c>
      <x:c r="J75" s="14" t="str">
        <x:v>ฝ่าย ARROW</x:v>
      </x:c>
      <x:c r="K75" s="13" t="str">
        <x:v>OF002</x:v>
      </x:c>
      <x:c r="L75" s="14" t="str">
        <x:v>Microsoft 365 Business Basic</x:v>
      </x:c>
    </x:row>
    <x:row r="76" ht="21" customHeight="1">
      <x:c r="A76" s="13" t="n">
        <x:v>72</x:v>
      </x:c>
      <x:c r="B76" s="13" t="str">
        <x:v>TA515</x:v>
      </x:c>
      <x:c r="C76" s="14" t="str">
        <x:v>เศรษฐวัจน์ หงษ์เทศ</x:v>
      </x:c>
      <x:c r="D76" s="14" t="str">
        <x:v>Setthawat Hongted</x:v>
      </x:c>
      <x:c r="E76" s="14" t="str">
        <x:v>แบงค์</x:v>
      </x:c>
      <x:c r="F76" s="14" t="str">
        <x:v>setthawat_ho@thanulux.com</x:v>
      </x:c>
      <x:c r="G76" s="13" t="str">
        <x:v>A8111</x:v>
      </x:c>
      <x:c r="H76" s="14" t="str">
        <x:v>ฝ่าย ARROW</x:v>
      </x:c>
      <x:c r="I76" s="13" t="str">
        <x:v>A8111</x:v>
      </x:c>
      <x:c r="J76" s="14" t="str">
        <x:v>ฝ่าย ARROW</x:v>
      </x:c>
      <x:c r="K76" s="13" t="str">
        <x:v>OF002</x:v>
      </x:c>
      <x:c r="L76" s="14" t="str">
        <x:v>Microsoft 365 Business Basic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345a38681f240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4" hidden="0" customWidth="1"/>
    <x:col min="4" max="4" width="24" hidden="0" customWidth="1"/>
    <x:col min="5" max="5" width="13" hidden="0" customWidth="1"/>
    <x:col min="6" max="6" width="30" hidden="0" customWidth="1"/>
    <x:col min="7" max="7" width="13" hidden="0" customWidth="1"/>
    <x:col min="8" max="8" width="28" hidden="0" customWidth="1"/>
    <x:col min="9" max="9" width="14" hidden="0" customWidth="1"/>
    <x:col min="10" max="10" width="27" hidden="0" customWidth="1"/>
    <x:col min="11" max="11" width="14" hidden="0" customWidth="1"/>
    <x:col min="12" max="12" width="34" hidden="0" customWidth="1"/>
  </x:cols>
  <x:sheetData>
    <x:row r="1" ht="30" customHeight="1">
      <x:c r="A1" s="20" t="str">
        <x:v>รายชื่อ Microsoft 365 Business Standard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 ht="22" customHeight="1">
      <x:c r="A2" s="6" t="str">
        <x:v>ข้อมูลจากระบบ O365 License (read-only) ณ วันที่ 5 สิงหาคม 2026 | จำนวน 35 รายการ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2" customHeight="1">
      <x:c r="A4" s="11" t="str">
        <x:v>ลำดับ</x:v>
      </x:c>
      <x:c r="B4" s="11" t="str">
        <x:v>รหัสพนักงาน</x:v>
      </x:c>
      <x:c r="C4" s="11" t="str">
        <x:v>ชื่อ-นามสกุล</x:v>
      </x:c>
      <x:c r="D4" s="11" t="str">
        <x:v>ชื่อภาษาอังกฤษ</x:v>
      </x:c>
      <x:c r="E4" s="11" t="str">
        <x:v>ชื่อเล่น</x:v>
      </x:c>
      <x:c r="F4" s="11" t="str">
        <x:v>อีเมล</x:v>
      </x:c>
      <x:c r="G4" s="11" t="str">
        <x:v>รหัสแผนก</x:v>
      </x:c>
      <x:c r="H4" s="11" t="str">
        <x:v>แผนก</x:v>
      </x:c>
      <x:c r="I4" s="11" t="str">
        <x:v>Cost Center</x:v>
      </x:c>
      <x:c r="J4" s="11" t="str">
        <x:v>ชื่อ Cost Center</x:v>
      </x:c>
      <x:c r="K4" s="11" t="str">
        <x:v>รหัส License</x:v>
      </x:c>
      <x:c r="L4" s="11" t="str">
        <x:v>ประเภท License</x:v>
      </x:c>
    </x:row>
    <x:row r="5" ht="21" customHeight="1">
      <x:c r="A5" s="13" t="n">
        <x:v>1</x:v>
      </x:c>
      <x:c r="B5" s="13" t="str">
        <x:v>55056</x:v>
      </x:c>
      <x:c r="C5" s="14" t="str">
        <x:v>โยธิน สุวรรณเกษร์</x:v>
      </x:c>
      <x:c r="D5" s="14" t="str">
        <x:v>yothin suwanket</x:v>
      </x:c>
      <x:c r="E5" s="14" t="str">
        <x:v>โจ้</x:v>
      </x:c>
      <x:c r="F5" s="14" t="str">
        <x:v>yothin_su@thanulux.com</x:v>
      </x:c>
      <x:c r="G5" s="13" t="str">
        <x:v>2AM04</x:v>
      </x:c>
      <x:c r="H5" s="14" t="str">
        <x:v>ฝ่าย IT</x:v>
      </x:c>
      <x:c r="I5" s="13" t="str">
        <x:v>2AM04</x:v>
      </x:c>
      <x:c r="J5" s="14" t="str">
        <x:v>ฝ่าย IT</x:v>
      </x:c>
      <x:c r="K5" s="13" t="str">
        <x:v>OF001</x:v>
      </x:c>
      <x:c r="L5" s="14" t="str">
        <x:v>Microsoft 365 Business Standard</x:v>
      </x:c>
    </x:row>
    <x:row r="6" ht="21" customHeight="1">
      <x:c r="A6" s="13" t="n">
        <x:v>2</x:v>
      </x:c>
      <x:c r="B6" s="13" t="str">
        <x:v>T9062</x:v>
      </x:c>
      <x:c r="C6" s="14" t="str">
        <x:v>วิษณุ กีพิมาย</x:v>
      </x:c>
      <x:c r="D6" s="14" t="str">
        <x:v>Witsanu Keephimai</x:v>
      </x:c>
      <x:c r="E6" s="14" t="str">
        <x:v>นุ</x:v>
      </x:c>
      <x:c r="F6" s="14" t="str">
        <x:v>Witsanu_ke@thanulux.com</x:v>
      </x:c>
      <x:c r="G6" s="13" t="str">
        <x:v>2AM05</x:v>
      </x:c>
      <x:c r="H6" s="14" t="str">
        <x:v>แผนกตรวจสอบภายใน</x:v>
      </x:c>
      <x:c r="I6" s="13" t="str">
        <x:v>2AM05</x:v>
      </x:c>
      <x:c r="J6" s="14" t="str"/>
      <x:c r="K6" s="13" t="str">
        <x:v>OF001</x:v>
      </x:c>
      <x:c r="L6" s="14" t="str">
        <x:v>Microsoft 365 Business Standard</x:v>
      </x:c>
    </x:row>
    <x:row r="7" ht="21" customHeight="1">
      <x:c r="A7" s="13" t="n">
        <x:v>3</x:v>
      </x:c>
      <x:c r="B7" s="13" t="str">
        <x:v>T9070</x:v>
      </x:c>
      <x:c r="C7" s="14" t="str">
        <x:v>เสาวณี ติยะพานิชกุล</x:v>
      </x:c>
      <x:c r="D7" s="14" t="str">
        <x:v>Saowanee Tiyapanichkul</x:v>
      </x:c>
      <x:c r="E7" s="14" t="str">
        <x:v>พี่เจี๊ยบ</x:v>
      </x:c>
      <x:c r="F7" s="14" t="str">
        <x:v>Saowanee_ti@thanulux.com</x:v>
      </x:c>
      <x:c r="G7" s="13" t="str">
        <x:v>R8111</x:v>
      </x:c>
      <x:c r="H7" s="14" t="str">
        <x:v>ฝ่ายธุรกิจเครื่องหนัง EXPORT</x:v>
      </x:c>
      <x:c r="I7" s="13" t="str">
        <x:v>R8111</x:v>
      </x:c>
      <x:c r="J7" s="14" t="str">
        <x:v>ฝ่ายธุรกิจเครื่องหนัง EXPORT</x:v>
      </x:c>
      <x:c r="K7" s="13" t="str">
        <x:v>OF001</x:v>
      </x:c>
      <x:c r="L7" s="14" t="str">
        <x:v>Microsoft 365 Business Standard</x:v>
      </x:c>
    </x:row>
    <x:row r="8" ht="21" customHeight="1">
      <x:c r="A8" s="13" t="n">
        <x:v>4</x:v>
      </x:c>
      <x:c r="B8" s="13" t="str">
        <x:v>T9172</x:v>
      </x:c>
      <x:c r="C8" s="14" t="str">
        <x:v>พีรดา ศิริภักดีนันต์</x:v>
      </x:c>
      <x:c r="D8" s="14" t="str">
        <x:v>Peerada Siripakdeenan</x:v>
      </x:c>
      <x:c r="E8" s="14" t="str">
        <x:v>หลิน</x:v>
      </x:c>
      <x:c r="F8" s="14" t="str">
        <x:v>peerada_po@thanulux.com</x:v>
      </x:c>
      <x:c r="G8" s="13" t="str">
        <x:v>L8111</x:v>
      </x:c>
      <x:c r="H8" s="14" t="str">
        <x:v>เครื่องหนัง GUY LAROCHE</x:v>
      </x:c>
      <x:c r="I8" s="13" t="str">
        <x:v>L8111</x:v>
      </x:c>
      <x:c r="J8" s="14" t="str">
        <x:v>ฝ่ายธุรกิจเครื่องหนังในประเทศ</x:v>
      </x:c>
      <x:c r="K8" s="13" t="str">
        <x:v>OF001</x:v>
      </x:c>
      <x:c r="L8" s="14" t="str">
        <x:v>Microsoft 365 Business Standard</x:v>
      </x:c>
    </x:row>
    <x:row r="9" ht="21" customHeight="1">
      <x:c r="A9" s="13" t="n">
        <x:v>5</x:v>
      </x:c>
      <x:c r="B9" s="13" t="str">
        <x:v>T9173</x:v>
      </x:c>
      <x:c r="C9" s="14" t="str">
        <x:v>กรรณิกา แก้วตา</x:v>
      </x:c>
      <x:c r="D9" s="14" t="str">
        <x:v>Kannika Kaewta</x:v>
      </x:c>
      <x:c r="E9" s="14" t="str">
        <x:v>กรรณ</x:v>
      </x:c>
      <x:c r="F9" s="14" t="str">
        <x:v>Kannika_ka@thanulux.com</x:v>
      </x:c>
      <x:c r="G9" s="13" t="str">
        <x:v>R8111</x:v>
      </x:c>
      <x:c r="H9" s="14" t="str">
        <x:v>ฝ่ายธุรกิจเครื่องหนัง EXPORT</x:v>
      </x:c>
      <x:c r="I9" s="13" t="str">
        <x:v>R8111</x:v>
      </x:c>
      <x:c r="J9" s="14" t="str">
        <x:v>ฝ่ายธุรกิจเครื่องหนัง EXPORT</x:v>
      </x:c>
      <x:c r="K9" s="13" t="str">
        <x:v>OF001</x:v>
      </x:c>
      <x:c r="L9" s="14" t="str">
        <x:v>Microsoft 365 Business Standard</x:v>
      </x:c>
    </x:row>
    <x:row r="10" ht="21" customHeight="1">
      <x:c r="A10" s="13" t="n">
        <x:v>6</x:v>
      </x:c>
      <x:c r="B10" s="13" t="str">
        <x:v>T9252</x:v>
      </x:c>
      <x:c r="C10" s="14" t="str">
        <x:v>ศิราภิรมย์ ธีรประเสริฐ</x:v>
      </x:c>
      <x:c r="D10" s="14" t="str">
        <x:v>Sirapirom Teeraprasert</x:v>
      </x:c>
      <x:c r="E10" s="14" t="str">
        <x:v>พี่เตี๊ยบ</x:v>
      </x:c>
      <x:c r="F10" s="14" t="str">
        <x:v>Sirapirom@thanulux.com</x:v>
      </x:c>
      <x:c r="G10" s="13" t="str">
        <x:v>2AM04</x:v>
      </x:c>
      <x:c r="H10" s="14" t="str">
        <x:v>ฝ่าย IT</x:v>
      </x:c>
      <x:c r="I10" s="13" t="str">
        <x:v>2AM04</x:v>
      </x:c>
      <x:c r="J10" s="14" t="str">
        <x:v>ฝ่าย IT</x:v>
      </x:c>
      <x:c r="K10" s="13" t="str">
        <x:v>OF001</x:v>
      </x:c>
      <x:c r="L10" s="14" t="str">
        <x:v>Microsoft 365 Business Standard</x:v>
      </x:c>
    </x:row>
    <x:row r="11" ht="21" customHeight="1">
      <x:c r="A11" s="13" t="n">
        <x:v>7</x:v>
      </x:c>
      <x:c r="B11" s="13" t="str">
        <x:v>T9280</x:v>
      </x:c>
      <x:c r="C11" s="14" t="str">
        <x:v>กรรณิกา บำรุงวงศ์ทอง</x:v>
      </x:c>
      <x:c r="D11" s="14" t="str">
        <x:v>Kannika Bumroongvongtong</x:v>
      </x:c>
      <x:c r="E11" s="14" t="str">
        <x:v>เจ</x:v>
      </x:c>
      <x:c r="F11" s="14" t="str">
        <x:v>kannika@thanulux.com</x:v>
      </x:c>
      <x:c r="G11" s="13" t="str">
        <x:v>2RE01</x:v>
      </x:c>
      <x:c r="H11" s="14" t="str">
        <x:v>ฝ่ายพัฒนาธุรกิจ</x:v>
      </x:c>
      <x:c r="I11" s="13" t="str">
        <x:v>1RE01</x:v>
      </x:c>
      <x:c r="J11" s="14" t="str"/>
      <x:c r="K11" s="13" t="str">
        <x:v>OF001</x:v>
      </x:c>
      <x:c r="L11" s="14" t="str">
        <x:v>Microsoft 365 Business Standard</x:v>
      </x:c>
    </x:row>
    <x:row r="12" ht="21" customHeight="1">
      <x:c r="A12" s="13" t="n">
        <x:v>8</x:v>
      </x:c>
      <x:c r="B12" s="13" t="str">
        <x:v>T9304</x:v>
      </x:c>
      <x:c r="C12" s="14" t="str">
        <x:v>อวิตรา นุชารัมย์</x:v>
      </x:c>
      <x:c r="D12" s="14" t="str">
        <x:v>Avitra Nucharam</x:v>
      </x:c>
      <x:c r="E12" s="14" t="str">
        <x:v>นก</x:v>
      </x:c>
      <x:c r="F12" s="14" t="str">
        <x:v>Avitra_nu@thanulux.com</x:v>
      </x:c>
      <x:c r="G12" s="13" t="str">
        <x:v>Y8111</x:v>
      </x:c>
      <x:c r="H12" s="14" t="str">
        <x:v>แผนก OLYMP</x:v>
      </x:c>
      <x:c r="I12" s="13" t="str">
        <x:v>Y8111</x:v>
      </x:c>
      <x:c r="J12" s="14" t="str"/>
      <x:c r="K12" s="13" t="str">
        <x:v>OF001</x:v>
      </x:c>
      <x:c r="L12" s="14" t="str">
        <x:v>Microsoft 365 Business Standard</x:v>
      </x:c>
    </x:row>
    <x:row r="13" ht="21" customHeight="1">
      <x:c r="A13" s="13" t="n">
        <x:v>9</x:v>
      </x:c>
      <x:c r="B13" s="13" t="str">
        <x:v>T9344</x:v>
      </x:c>
      <x:c r="C13" s="14" t="str">
        <x:v>วลีรัตน์ สกุลประเสริฐยิ่ง</x:v>
      </x:c>
      <x:c r="D13" s="14" t="str">
        <x:v>Waleerat Sakulprasertying</x:v>
      </x:c>
      <x:c r="E13" s="14" t="str">
        <x:v>น้อง</x:v>
      </x:c>
      <x:c r="F13" s="14" t="str">
        <x:v>Waleerat_sk@thanulux.com</x:v>
      </x:c>
      <x:c r="G13" s="13" t="str">
        <x:v>R8111</x:v>
      </x:c>
      <x:c r="H13" s="14" t="str">
        <x:v>ฝ่ายธุรกิจเครื่องหนัง EXPORT</x:v>
      </x:c>
      <x:c r="I13" s="13" t="str">
        <x:v>R8111</x:v>
      </x:c>
      <x:c r="J13" s="14" t="str">
        <x:v>ฝ่ายธุรกิจเครื่องหนัง EXPORT</x:v>
      </x:c>
      <x:c r="K13" s="13" t="str">
        <x:v>OF001</x:v>
      </x:c>
      <x:c r="L13" s="14" t="str">
        <x:v>Microsoft 365 Business Standard</x:v>
      </x:c>
    </x:row>
    <x:row r="14" ht="21" customHeight="1">
      <x:c r="A14" s="13" t="n">
        <x:v>10</x:v>
      </x:c>
      <x:c r="B14" s="13" t="str">
        <x:v>T9353</x:v>
      </x:c>
      <x:c r="C14" s="14" t="str">
        <x:v>ปฐมพล ผลาพิบูลย์</x:v>
      </x:c>
      <x:c r="D14" s="14" t="str">
        <x:v>Patompon Bhlapibul</x:v>
      </x:c>
      <x:c r="E14" s="14" t="str">
        <x:v>ตู่</x:v>
      </x:c>
      <x:c r="F14" s="14" t="str">
        <x:v>Purchase_patompon@thanulux.com</x:v>
      </x:c>
      <x:c r="G14" s="13" t="str">
        <x:v>2PC02</x:v>
      </x:c>
      <x:c r="H14" s="14" t="str">
        <x:v>จัดซื้อเครื่องหนัง</x:v>
      </x:c>
      <x:c r="I14" s="13" t="str">
        <x:v>2PC02</x:v>
      </x:c>
      <x:c r="J14" s="14" t="str"/>
      <x:c r="K14" s="13" t="str">
        <x:v>OF001</x:v>
      </x:c>
      <x:c r="L14" s="14" t="str">
        <x:v>Microsoft 365 Business Standard</x:v>
      </x:c>
    </x:row>
    <x:row r="15" ht="21" customHeight="1">
      <x:c r="A15" s="13" t="n">
        <x:v>11</x:v>
      </x:c>
      <x:c r="B15" s="13" t="str">
        <x:v>T9410</x:v>
      </x:c>
      <x:c r="C15" s="14" t="str">
        <x:v>วรรณา ภู่รักแก้ว</x:v>
      </x:c>
      <x:c r="D15" s="14" t="str">
        <x:v>Wanna Purakkaew</x:v>
      </x:c>
      <x:c r="E15" s="14" t="str">
        <x:v>พี่ณา</x:v>
      </x:c>
      <x:c r="F15" s="14" t="str">
        <x:v>wanna_inner@thanulux.com</x:v>
      </x:c>
      <x:c r="G15" s="13" t="str">
        <x:v>P8111</x:v>
      </x:c>
      <x:c r="H15" s="14" t="str">
        <x:v>แผนกธุรกิจ DAKS</x:v>
      </x:c>
      <x:c r="I15" s="13" t="str">
        <x:v>P8111</x:v>
      </x:c>
      <x:c r="J15" s="14" t="str"/>
      <x:c r="K15" s="13" t="str">
        <x:v>OF001</x:v>
      </x:c>
      <x:c r="L15" s="14" t="str">
        <x:v>Microsoft 365 Business Standard</x:v>
      </x:c>
    </x:row>
    <x:row r="16" ht="21" customHeight="1">
      <x:c r="A16" s="13" t="n">
        <x:v>12</x:v>
      </x:c>
      <x:c r="B16" s="13" t="str">
        <x:v>T9451</x:v>
      </x:c>
      <x:c r="C16" s="14" t="str">
        <x:v>วิภารัตน์ พันธ์ผาด</x:v>
      </x:c>
      <x:c r="D16" s="14" t="str">
        <x:v>Wiparat Phanphad</x:v>
      </x:c>
      <x:c r="E16" s="14" t="str">
        <x:v>แอม</x:v>
      </x:c>
      <x:c r="F16" s="14" t="str">
        <x:v>wiparat_ph@thanulux.com</x:v>
      </x:c>
      <x:c r="G16" s="13" t="str">
        <x:v>2AM03</x:v>
      </x:c>
      <x:c r="H16" s="14" t="str">
        <x:v>ฝ่าย HR</x:v>
      </x:c>
      <x:c r="I16" s="13" t="str">
        <x:v>2AM03</x:v>
      </x:c>
      <x:c r="J16" s="14" t="str">
        <x:v>ฝ่าย HR</x:v>
      </x:c>
      <x:c r="K16" s="13" t="str">
        <x:v>OF001</x:v>
      </x:c>
      <x:c r="L16" s="14" t="str">
        <x:v>Microsoft 365 Business Standard</x:v>
      </x:c>
    </x:row>
    <x:row r="17" ht="21" customHeight="1">
      <x:c r="A17" s="13" t="n">
        <x:v>13</x:v>
      </x:c>
      <x:c r="B17" s="13" t="str">
        <x:v>T9490</x:v>
      </x:c>
      <x:c r="C17" s="14" t="str">
        <x:v>จันทนา สวนพฤกษา</x:v>
      </x:c>
      <x:c r="D17" s="14" t="str">
        <x:v>Janthana Suanprueksa</x:v>
      </x:c>
      <x:c r="E17" s="14" t="str">
        <x:v>หน่อย</x:v>
      </x:c>
      <x:c r="F17" s="14" t="str">
        <x:v>janthana_su@thanulux.com</x:v>
      </x:c>
      <x:c r="G17" s="13" t="str">
        <x:v>1RI01</x:v>
      </x:c>
      <x:c r="H17" s="14" t="str">
        <x:v>หน่วยวิจัยพัฒนา</x:v>
      </x:c>
      <x:c r="I17" s="13" t="str">
        <x:v>1RI01</x:v>
      </x:c>
      <x:c r="J17" s="14" t="str"/>
      <x:c r="K17" s="13" t="str">
        <x:v>OF001</x:v>
      </x:c>
      <x:c r="L17" s="14" t="str">
        <x:v>Microsoft 365 Business Standard</x:v>
      </x:c>
    </x:row>
    <x:row r="18" ht="21" customHeight="1">
      <x:c r="A18" s="13" t="n">
        <x:v>14</x:v>
      </x:c>
      <x:c r="B18" s="13" t="str">
        <x:v>T9521</x:v>
      </x:c>
      <x:c r="C18" s="14" t="str">
        <x:v>ฉันทิตา ศิริศักดิพร</x:v>
      </x:c>
      <x:c r="D18" s="14" t="str">
        <x:v>Chanthita Sirisakdiporn</x:v>
      </x:c>
      <x:c r="E18" s="14" t="str">
        <x:v>ตา</x:v>
      </x:c>
      <x:c r="F18" s="14" t="str">
        <x:v>Chanthita_si@thanulux.com</x:v>
      </x:c>
      <x:c r="G18" s="13" t="str">
        <x:v>2AM03</x:v>
      </x:c>
      <x:c r="H18" s="14" t="str">
        <x:v>ฝ่าย HR</x:v>
      </x:c>
      <x:c r="I18" s="13" t="str">
        <x:v>2AM03</x:v>
      </x:c>
      <x:c r="J18" s="14" t="str">
        <x:v>ฝ่าย HR</x:v>
      </x:c>
      <x:c r="K18" s="13" t="str">
        <x:v>OF001</x:v>
      </x:c>
      <x:c r="L18" s="14" t="str">
        <x:v>Microsoft 365 Business Standard</x:v>
      </x:c>
    </x:row>
    <x:row r="19" ht="21" customHeight="1">
      <x:c r="A19" s="13" t="n">
        <x:v>15</x:v>
      </x:c>
      <x:c r="B19" s="13" t="str">
        <x:v>T9571</x:v>
      </x:c>
      <x:c r="C19" s="14" t="str">
        <x:v>ไพลิน โล่ห์บัณฑิตกุล</x:v>
      </x:c>
      <x:c r="D19" s="14" t="str">
        <x:v>Pailin Lohbanditkul</x:v>
      </x:c>
      <x:c r="E19" s="14" t="str">
        <x:v>ไพลิน</x:v>
      </x:c>
      <x:c r="F19" s="14" t="str">
        <x:v>pailin_lo@thanulux.com</x:v>
      </x:c>
      <x:c r="G19" s="13" t="str">
        <x:v>P8111</x:v>
      </x:c>
      <x:c r="H19" s="14" t="str">
        <x:v>แผนกธุรกิจ DAKS</x:v>
      </x:c>
      <x:c r="I19" s="13" t="str">
        <x:v>P8111</x:v>
      </x:c>
      <x:c r="J19" s="14" t="str"/>
      <x:c r="K19" s="13" t="str">
        <x:v>OF001</x:v>
      </x:c>
      <x:c r="L19" s="14" t="str">
        <x:v>Microsoft 365 Business Standard</x:v>
      </x:c>
    </x:row>
    <x:row r="20" ht="21" customHeight="1">
      <x:c r="A20" s="13" t="n">
        <x:v>16</x:v>
      </x:c>
      <x:c r="B20" s="13" t="str">
        <x:v>T9614</x:v>
      </x:c>
      <x:c r="C20" s="14" t="str">
        <x:v>สวรรณกมล กิจสุนทราภา</x:v>
      </x:c>
      <x:c r="D20" s="14" t="str">
        <x:v>Sawankamon Kijsoontrapa</x:v>
      </x:c>
      <x:c r="E20" s="14" t="str">
        <x:v>พี่จึง</x:v>
      </x:c>
      <x:c r="F20" s="14" t="str">
        <x:v>jueng@thanulux.com</x:v>
      </x:c>
      <x:c r="G20" s="13" t="str">
        <x:v>P8111</x:v>
      </x:c>
      <x:c r="H20" s="14" t="str">
        <x:v>แผนกธุรกิจ DAKS</x:v>
      </x:c>
      <x:c r="I20" s="13" t="str">
        <x:v>P8111</x:v>
      </x:c>
      <x:c r="J20" s="14" t="str"/>
      <x:c r="K20" s="13" t="str">
        <x:v>OF001</x:v>
      </x:c>
      <x:c r="L20" s="14" t="str">
        <x:v>Microsoft 365 Business Standard</x:v>
      </x:c>
    </x:row>
    <x:row r="21" ht="21" customHeight="1">
      <x:c r="A21" s="13" t="n">
        <x:v>17</x:v>
      </x:c>
      <x:c r="B21" s="13" t="str">
        <x:v>T9618</x:v>
      </x:c>
      <x:c r="C21" s="14" t="str">
        <x:v>ลัดดาวัลย์ โสทัศน์</x:v>
      </x:c>
      <x:c r="D21" s="14" t="str">
        <x:v>Laddawan Sothus</x:v>
      </x:c>
      <x:c r="E21" s="14" t="str">
        <x:v>เจี๊ยบ</x:v>
      </x:c>
      <x:c r="F21" s="14" t="str">
        <x:v>Laddawan_so@thanulux.com</x:v>
      </x:c>
      <x:c r="G21" s="13" t="str">
        <x:v>R8111</x:v>
      </x:c>
      <x:c r="H21" s="14" t="str">
        <x:v>ฝ่ายธุรกิจเครื่องหนัง EXPORT</x:v>
      </x:c>
      <x:c r="I21" s="13" t="str">
        <x:v>R8111</x:v>
      </x:c>
      <x:c r="J21" s="14" t="str">
        <x:v>ฝ่ายธุรกิจเครื่องหนัง EXPORT</x:v>
      </x:c>
      <x:c r="K21" s="13" t="str">
        <x:v>OF001</x:v>
      </x:c>
      <x:c r="L21" s="14" t="str">
        <x:v>Microsoft 365 Business Standard</x:v>
      </x:c>
    </x:row>
    <x:row r="22" ht="21" customHeight="1">
      <x:c r="A22" s="13" t="n">
        <x:v>18</x:v>
      </x:c>
      <x:c r="B22" s="13" t="str">
        <x:v>T9658</x:v>
      </x:c>
      <x:c r="C22" s="14" t="str">
        <x:v>รัชนิต ลือพงศ์พาณิชย์</x:v>
      </x:c>
      <x:c r="D22" s="14" t="str">
        <x:v>Ratchanit Luepongpanich</x:v>
      </x:c>
      <x:c r="E22" s="14" t="str">
        <x:v>อ๋อย</x:v>
      </x:c>
      <x:c r="F22" s="14" t="str">
        <x:v>aoi_gl@thanulux.com</x:v>
      </x:c>
      <x:c r="G22" s="13" t="str">
        <x:v>2AM01</x:v>
      </x:c>
      <x:c r="H22" s="14" t="str">
        <x:v>แผนกบัญชี</x:v>
      </x:c>
      <x:c r="I22" s="13" t="str">
        <x:v>2AM01</x:v>
      </x:c>
      <x:c r="J22" s="14" t="str"/>
      <x:c r="K22" s="13" t="str">
        <x:v>OF001</x:v>
      </x:c>
      <x:c r="L22" s="14" t="str">
        <x:v>Microsoft 365 Business Standard</x:v>
      </x:c>
    </x:row>
    <x:row r="23" ht="21" customHeight="1">
      <x:c r="A23" s="13" t="n">
        <x:v>19</x:v>
      </x:c>
      <x:c r="B23" s="13" t="str">
        <x:v>T9696</x:v>
      </x:c>
      <x:c r="C23" s="14" t="str">
        <x:v>ศิริ รัตนาไพบูลย์</x:v>
      </x:c>
      <x:c r="D23" s="14" t="str">
        <x:v>ศิริ รัตนาไพบูลย์</x:v>
      </x:c>
      <x:c r="E23" s="14" t="str">
        <x:v>หน่อง</x:v>
      </x:c>
      <x:c r="F23" s="14" t="str">
        <x:v>Siri@thanulux.com</x:v>
      </x:c>
      <x:c r="G23" s="13" t="str">
        <x:v>2AM04</x:v>
      </x:c>
      <x:c r="H23" s="14" t="str">
        <x:v>ฝ่าย IT</x:v>
      </x:c>
      <x:c r="I23" s="13" t="str">
        <x:v>2AM04</x:v>
      </x:c>
      <x:c r="J23" s="14" t="str">
        <x:v>ฝ่าย IT</x:v>
      </x:c>
      <x:c r="K23" s="13" t="str">
        <x:v>OF001</x:v>
      </x:c>
      <x:c r="L23" s="14" t="str">
        <x:v>Microsoft 365 Business Standard</x:v>
      </x:c>
    </x:row>
    <x:row r="24" ht="21" customHeight="1">
      <x:c r="A24" s="13" t="n">
        <x:v>20</x:v>
      </x:c>
      <x:c r="B24" s="13" t="str">
        <x:v>T9820</x:v>
      </x:c>
      <x:c r="C24" s="14" t="str">
        <x:v>สิริมา บุญจึงมงคล</x:v>
      </x:c>
      <x:c r="D24" s="14" t="str">
        <x:v>Sirima Boomjungmongkon</x:v>
      </x:c>
      <x:c r="E24" s="14" t="str">
        <x:v>สิมา</x:v>
      </x:c>
      <x:c r="F24" s="14" t="str">
        <x:v>sirima_bu@thanulux.com</x:v>
      </x:c>
      <x:c r="G24" s="13" t="str">
        <x:v>E8111</x:v>
      </x:c>
      <x:c r="H24" s="14" t="str">
        <x:v>แผนก Export Men's Wear</x:v>
      </x:c>
      <x:c r="I24" s="13" t="str">
        <x:v>E8111</x:v>
      </x:c>
      <x:c r="J24" s="14" t="str"/>
      <x:c r="K24" s="13" t="str">
        <x:v>OF001</x:v>
      </x:c>
      <x:c r="L24" s="14" t="str">
        <x:v>Microsoft 365 Business Standard</x:v>
      </x:c>
    </x:row>
    <x:row r="25" ht="21" customHeight="1">
      <x:c r="A25" s="13" t="n">
        <x:v>21</x:v>
      </x:c>
      <x:c r="B25" s="13" t="str">
        <x:v>T9851</x:v>
      </x:c>
      <x:c r="C25" s="14" t="str">
        <x:v>ยุพาพร เจียรกุล</x:v>
      </x:c>
      <x:c r="D25" s="14" t="str">
        <x:v>Yupaporn Jearrakul</x:v>
      </x:c>
      <x:c r="E25" s="14" t="str">
        <x:v>พี่ตา</x:v>
      </x:c>
      <x:c r="F25" s="14" t="str">
        <x:v>Yupaporn@thanulux.com</x:v>
      </x:c>
      <x:c r="G25" s="13" t="str">
        <x:v>2AM01</x:v>
      </x:c>
      <x:c r="H25" s="14" t="str">
        <x:v>แผนกบัญชี</x:v>
      </x:c>
      <x:c r="I25" s="13" t="str">
        <x:v>2AM01</x:v>
      </x:c>
      <x:c r="J25" s="14" t="str"/>
      <x:c r="K25" s="13" t="str">
        <x:v>OF001</x:v>
      </x:c>
      <x:c r="L25" s="14" t="str">
        <x:v>Microsoft 365 Business Standard</x:v>
      </x:c>
    </x:row>
    <x:row r="26" ht="21" customHeight="1">
      <x:c r="A26" s="13" t="n">
        <x:v>22</x:v>
      </x:c>
      <x:c r="B26" s="13" t="str">
        <x:v>T9864</x:v>
      </x:c>
      <x:c r="C26" s="14" t="str">
        <x:v>อณิษา ตริยะพัฒนกำจร</x:v>
      </x:c>
      <x:c r="D26" s="14" t="str">
        <x:v>Anisa Triyapattanakamjorn</x:v>
      </x:c>
      <x:c r="E26" s="14" t="str">
        <x:v>ส้ม</x:v>
      </x:c>
      <x:c r="F26" s="14" t="str">
        <x:v>Anisa_tr@thanulux.com</x:v>
      </x:c>
      <x:c r="G26" s="13" t="str">
        <x:v>2AM01</x:v>
      </x:c>
      <x:c r="H26" s="14" t="str">
        <x:v>แผนกบัญชี</x:v>
      </x:c>
      <x:c r="I26" s="13" t="str">
        <x:v>2AM01</x:v>
      </x:c>
      <x:c r="J26" s="14" t="str"/>
      <x:c r="K26" s="13" t="str">
        <x:v>OF001</x:v>
      </x:c>
      <x:c r="L26" s="14" t="str">
        <x:v>Microsoft 365 Business Standard</x:v>
      </x:c>
    </x:row>
    <x:row r="27" ht="21" customHeight="1">
      <x:c r="A27" s="13" t="n">
        <x:v>23</x:v>
      </x:c>
      <x:c r="B27" s="13" t="str">
        <x:v>T9887</x:v>
      </x:c>
      <x:c r="C27" s="14" t="str">
        <x:v>สมชาย วีรปฏิญญา</x:v>
      </x:c>
      <x:c r="D27" s="14" t="str">
        <x:v>Somchai Weerapatinya</x:v>
      </x:c>
      <x:c r="E27" s="14" t="str">
        <x:v>โจ๊ก</x:v>
      </x:c>
      <x:c r="F27" s="14" t="str">
        <x:v>Somchai_we@thanulux.com</x:v>
      </x:c>
      <x:c r="G27" s="13" t="str">
        <x:v>2PC02</x:v>
      </x:c>
      <x:c r="H27" s="14" t="str">
        <x:v>จัดซื้อเครื่องหนัง</x:v>
      </x:c>
      <x:c r="I27" s="13" t="str">
        <x:v>2PC02</x:v>
      </x:c>
      <x:c r="J27" s="14" t="str"/>
      <x:c r="K27" s="13" t="str">
        <x:v>OF001</x:v>
      </x:c>
      <x:c r="L27" s="14" t="str">
        <x:v>Microsoft 365 Business Standard</x:v>
      </x:c>
    </x:row>
    <x:row r="28" ht="21" customHeight="1">
      <x:c r="A28" s="13" t="n">
        <x:v>24</x:v>
      </x:c>
      <x:c r="B28" s="13" t="str">
        <x:v>T9975</x:v>
      </x:c>
      <x:c r="C28" s="14" t="str">
        <x:v>อรวรรณ อุดมประเสริฐ</x:v>
      </x:c>
      <x:c r="D28" s="14" t="str">
        <x:v>Orawan udomprasert</x:v>
      </x:c>
      <x:c r="E28" s="14" t="str">
        <x:v>อิ๋ว</x:v>
      </x:c>
      <x:c r="F28" s="14" t="str">
        <x:v>orawan_ud@thanulux.com</x:v>
      </x:c>
      <x:c r="G28" s="13" t="str">
        <x:v>2AM04</x:v>
      </x:c>
      <x:c r="H28" s="14" t="str">
        <x:v>ฝ่าย IT</x:v>
      </x:c>
      <x:c r="I28" s="13" t="str">
        <x:v>2AM04</x:v>
      </x:c>
      <x:c r="J28" s="14" t="str">
        <x:v>ฝ่าย IT</x:v>
      </x:c>
      <x:c r="K28" s="13" t="str">
        <x:v>OF001</x:v>
      </x:c>
      <x:c r="L28" s="14" t="str">
        <x:v>Microsoft 365 Business Standard</x:v>
      </x:c>
    </x:row>
    <x:row r="29" ht="21" customHeight="1">
      <x:c r="A29" s="13" t="n">
        <x:v>25</x:v>
      </x:c>
      <x:c r="B29" s="13" t="str">
        <x:v>T9996</x:v>
      </x:c>
      <x:c r="C29" s="14" t="str">
        <x:v>สุนทรี จิตต์รุ่งเรืองชัย</x:v>
      </x:c>
      <x:c r="D29" s="14" t="str">
        <x:v>Soontaree Chitrongruangchai</x:v>
      </x:c>
      <x:c r="E29" s="14" t="str">
        <x:v>อ้อม</x:v>
      </x:c>
      <x:c r="F29" s="14" t="str">
        <x:v>Soontaree_ch@thanulux.com</x:v>
      </x:c>
      <x:c r="G29" s="13" t="str">
        <x:v>R8111</x:v>
      </x:c>
      <x:c r="H29" s="14" t="str">
        <x:v>ฝ่ายธุรกิจเครื่องหนัง EXPORT</x:v>
      </x:c>
      <x:c r="I29" s="13" t="str">
        <x:v>R8111</x:v>
      </x:c>
      <x:c r="J29" s="14" t="str">
        <x:v>ฝ่ายธุรกิจเครื่องหนัง EXPORT</x:v>
      </x:c>
      <x:c r="K29" s="13" t="str">
        <x:v>OF001</x:v>
      </x:c>
      <x:c r="L29" s="14" t="str">
        <x:v>Microsoft 365 Business Standard</x:v>
      </x:c>
    </x:row>
    <x:row r="30" ht="21" customHeight="1">
      <x:c r="A30" s="13" t="n">
        <x:v>26</x:v>
      </x:c>
      <x:c r="B30" s="13" t="str">
        <x:v>T9999</x:v>
      </x:c>
      <x:c r="C30" s="14" t="str">
        <x:v>มารินทร์ ลีลานุวัฒน์</x:v>
      </x:c>
      <x:c r="D30" s="14" t="str">
        <x:v>Marin Leelanuwatana</x:v>
      </x:c>
      <x:c r="E30" s="14" t="str">
        <x:v>คุณปุ่น</x:v>
      </x:c>
      <x:c r="F30" s="14" t="str">
        <x:v>Marin@thanulux.com</x:v>
      </x:c>
      <x:c r="G30" s="13" t="str">
        <x:v>1KA00</x:v>
      </x:c>
      <x:c r="H30" s="14" t="str">
        <x:v>ผู้บริหาร</x:v>
      </x:c>
      <x:c r="I30" s="13" t="str">
        <x:v>1KA00</x:v>
      </x:c>
      <x:c r="J30" s="14" t="str"/>
      <x:c r="K30" s="13" t="str">
        <x:v>OF001</x:v>
      </x:c>
      <x:c r="L30" s="14" t="str">
        <x:v>Microsoft 365 Business Standard</x:v>
      </x:c>
    </x:row>
    <x:row r="31" ht="21" customHeight="1">
      <x:c r="A31" s="13" t="n">
        <x:v>27</x:v>
      </x:c>
      <x:c r="B31" s="13" t="str">
        <x:v>TA245</x:v>
      </x:c>
      <x:c r="C31" s="14" t="str">
        <x:v>ภัทราวรรณ เกตุลักษณ์</x:v>
      </x:c>
      <x:c r="D31" s="14" t="str">
        <x:v>Pattrawan Kettuluk</x:v>
      </x:c>
      <x:c r="E31" s="14" t="str">
        <x:v>แพร</x:v>
      </x:c>
      <x:c r="F31" s="14" t="str">
        <x:v>pattrawan_ke@thanulux.com</x:v>
      </x:c>
      <x:c r="G31" s="13" t="str">
        <x:v>2AM01</x:v>
      </x:c>
      <x:c r="H31" s="14" t="str">
        <x:v>แผนกบัญชี</x:v>
      </x:c>
      <x:c r="I31" s="13" t="str">
        <x:v>2AM01</x:v>
      </x:c>
      <x:c r="J31" s="14" t="str"/>
      <x:c r="K31" s="13" t="str">
        <x:v>OF001</x:v>
      </x:c>
      <x:c r="L31" s="14" t="str">
        <x:v>Microsoft 365 Business Standard</x:v>
      </x:c>
    </x:row>
    <x:row r="32" ht="21" customHeight="1">
      <x:c r="A32" s="13" t="n">
        <x:v>28</x:v>
      </x:c>
      <x:c r="B32" s="13" t="str">
        <x:v>TA287</x:v>
      </x:c>
      <x:c r="C32" s="14" t="str">
        <x:v>ภัทรา เธียรนภาพรโชค</x:v>
      </x:c>
      <x:c r="D32" s="14" t="str">
        <x:v>Pattra Tiennapapornchok</x:v>
      </x:c>
      <x:c r="E32" s="14" t="str">
        <x:v>ภัทร์</x:v>
      </x:c>
      <x:c r="F32" s="14" t="str">
        <x:v>Pattra_ti@thanulux.com</x:v>
      </x:c>
      <x:c r="G32" s="13" t="str">
        <x:v>2AM01</x:v>
      </x:c>
      <x:c r="H32" s="14" t="str">
        <x:v>แผนกบัญชี</x:v>
      </x:c>
      <x:c r="I32" s="13" t="str">
        <x:v>2AM01</x:v>
      </x:c>
      <x:c r="J32" s="14" t="str"/>
      <x:c r="K32" s="13" t="str">
        <x:v>OF001</x:v>
      </x:c>
      <x:c r="L32" s="14" t="str">
        <x:v>Microsoft 365 Business Standard</x:v>
      </x:c>
    </x:row>
    <x:row r="33" ht="21" customHeight="1">
      <x:c r="A33" s="13" t="n">
        <x:v>29</x:v>
      </x:c>
      <x:c r="B33" s="13" t="str">
        <x:v>TA366</x:v>
      </x:c>
      <x:c r="C33" s="14" t="str">
        <x:v>มรกต วิทยะประสาท</x:v>
      </x:c>
      <x:c r="D33" s="14" t="str">
        <x:v>Morrakot Wittayaprasart</x:v>
      </x:c>
      <x:c r="E33" s="14" t="str">
        <x:v>เหมียว</x:v>
      </x:c>
      <x:c r="F33" s="14" t="str">
        <x:v>morrakot_wi@thanulux.com</x:v>
      </x:c>
      <x:c r="G33" s="13" t="str">
        <x:v>Y8111</x:v>
      </x:c>
      <x:c r="H33" s="14" t="str">
        <x:v>แผนก OLYMP</x:v>
      </x:c>
      <x:c r="I33" s="13" t="str">
        <x:v>Y8111</x:v>
      </x:c>
      <x:c r="J33" s="14" t="str"/>
      <x:c r="K33" s="13" t="str">
        <x:v>OF001</x:v>
      </x:c>
      <x:c r="L33" s="14" t="str">
        <x:v>Microsoft 365 Business Standard</x:v>
      </x:c>
    </x:row>
    <x:row r="34" ht="21" customHeight="1">
      <x:c r="A34" s="13" t="n">
        <x:v>30</x:v>
      </x:c>
      <x:c r="B34" s="13" t="str">
        <x:v>TA400</x:v>
      </x:c>
      <x:c r="C34" s="14" t="str">
        <x:v>กัญญาณัฐ ขุมทอง</x:v>
      </x:c>
      <x:c r="D34" s="14" t="str">
        <x:v>Kanyanut Khumthong</x:v>
      </x:c>
      <x:c r="E34" s="14" t="str">
        <x:v>เอิ้น</x:v>
      </x:c>
      <x:c r="F34" s="14" t="str">
        <x:v>kanyanut_kh@thanulux.com</x:v>
      </x:c>
      <x:c r="G34" s="13" t="str">
        <x:v>R8111</x:v>
      </x:c>
      <x:c r="H34" s="14" t="str">
        <x:v>ฝ่ายธุรกิจเครื่องหนัง EXPORT</x:v>
      </x:c>
      <x:c r="I34" s="13" t="str">
        <x:v>R8111</x:v>
      </x:c>
      <x:c r="J34" s="14" t="str">
        <x:v>ฝ่ายธุรกิจเครื่องหนัง EXPORT</x:v>
      </x:c>
      <x:c r="K34" s="13" t="str">
        <x:v>OF001</x:v>
      </x:c>
      <x:c r="L34" s="14" t="str">
        <x:v>Microsoft 365 Business Standard</x:v>
      </x:c>
    </x:row>
    <x:row r="35" ht="21" customHeight="1">
      <x:c r="A35" s="13" t="n">
        <x:v>31</x:v>
      </x:c>
      <x:c r="B35" s="13" t="str">
        <x:v>TA423</x:v>
      </x:c>
      <x:c r="C35" s="14" t="str">
        <x:v>ชยาภรณ์ พยุงศักดิ์สกุล</x:v>
      </x:c>
      <x:c r="D35" s="14" t="str">
        <x:v>Chayaporn Payungsaksakul</x:v>
      </x:c>
      <x:c r="E35" s="14" t="str">
        <x:v>ปิงปิง</x:v>
      </x:c>
      <x:c r="F35" s="14" t="str">
        <x:v>Chayaporn_pa@thanulux.com</x:v>
      </x:c>
      <x:c r="G35" s="13" t="str">
        <x:v>R8111</x:v>
      </x:c>
      <x:c r="H35" s="14" t="str">
        <x:v>ฝ่ายธุรกิจเครื่องหนัง EXPORT</x:v>
      </x:c>
      <x:c r="I35" s="13" t="str">
        <x:v>R8111</x:v>
      </x:c>
      <x:c r="J35" s="14" t="str">
        <x:v>ฝ่ายธุรกิจเครื่องหนัง EXPORT</x:v>
      </x:c>
      <x:c r="K35" s="13" t="str">
        <x:v>OF001</x:v>
      </x:c>
      <x:c r="L35" s="14" t="str">
        <x:v>Microsoft 365 Business Standard</x:v>
      </x:c>
    </x:row>
    <x:row r="36" ht="21" customHeight="1">
      <x:c r="A36" s="13" t="n">
        <x:v>32</x:v>
      </x:c>
      <x:c r="B36" s="13" t="str">
        <x:v>TA445</x:v>
      </x:c>
      <x:c r="C36" s="14" t="str">
        <x:v>สุธิตา สุทธิสอาด</x:v>
      </x:c>
      <x:c r="D36" s="14" t="str">
        <x:v>Suthita Sutthisaard</x:v>
      </x:c>
      <x:c r="E36" s="14" t="str">
        <x:v>มิกกี้</x:v>
      </x:c>
      <x:c r="F36" s="14" t="str">
        <x:v>Suthita_su@thanulux.com</x:v>
      </x:c>
      <x:c r="G36" s="13" t="str">
        <x:v>R8111</x:v>
      </x:c>
      <x:c r="H36" s="14" t="str">
        <x:v>ฝ่ายธุรกิจเครื่องหนัง EXPORT</x:v>
      </x:c>
      <x:c r="I36" s="13" t="str">
        <x:v>R8111</x:v>
      </x:c>
      <x:c r="J36" s="14" t="str">
        <x:v>ฝ่ายธุรกิจเครื่องหนัง EXPORT</x:v>
      </x:c>
      <x:c r="K36" s="13" t="str">
        <x:v>OF001</x:v>
      </x:c>
      <x:c r="L36" s="14" t="str">
        <x:v>Microsoft 365 Business Standard</x:v>
      </x:c>
    </x:row>
    <x:row r="37" ht="21" customHeight="1">
      <x:c r="A37" s="13" t="n">
        <x:v>33</x:v>
      </x:c>
      <x:c r="B37" s="13" t="str">
        <x:v>TA494</x:v>
      </x:c>
      <x:c r="C37" s="14" t="str">
        <x:v>นันทวรรณ วงศ์จิรภาส</x:v>
      </x:c>
      <x:c r="D37" s="14" t="str">
        <x:v>Nantawan Vongjirapas</x:v>
      </x:c>
      <x:c r="E37" s="14" t="str">
        <x:v>อร</x:v>
      </x:c>
      <x:c r="F37" s="14" t="str">
        <x:v>nantawan_vo@thanulux.com</x:v>
      </x:c>
      <x:c r="G37" s="13" t="str">
        <x:v>R8111</x:v>
      </x:c>
      <x:c r="H37" s="14" t="str">
        <x:v>ฝ่ายธุรกิจเครื่องหนัง EXPORT</x:v>
      </x:c>
      <x:c r="I37" s="13" t="str">
        <x:v>R8111</x:v>
      </x:c>
      <x:c r="J37" s="14" t="str">
        <x:v>ฝ่ายธุรกิจเครื่องหนัง EXPORT</x:v>
      </x:c>
      <x:c r="K37" s="13" t="str">
        <x:v>OF001</x:v>
      </x:c>
      <x:c r="L37" s="14" t="str">
        <x:v>Microsoft 365 Business Standard</x:v>
      </x:c>
    </x:row>
    <x:row r="38" ht="21" customHeight="1">
      <x:c r="A38" s="13" t="n">
        <x:v>34</x:v>
      </x:c>
      <x:c r="B38" s="13" t="str">
        <x:v>TA909</x:v>
      </x:c>
      <x:c r="C38" s="14" t="str">
        <x:v>วีกูล ชื่นใจดี</x:v>
      </x:c>
      <x:c r="D38" s="14" t="str">
        <x:v>Weegul Chuenjaidee</x:v>
      </x:c>
      <x:c r="E38" s="14" t="str">
        <x:v>แบงค์</x:v>
      </x:c>
      <x:c r="F38" s="14" t="str">
        <x:v>Weegul_ch@thanulux.com</x:v>
      </x:c>
      <x:c r="G38" s="13" t="str">
        <x:v>2AM05</x:v>
      </x:c>
      <x:c r="H38" s="14" t="str">
        <x:v>แผนกตรวจสอบภายใน</x:v>
      </x:c>
      <x:c r="I38" s="13" t="str">
        <x:v>2AM05</x:v>
      </x:c>
      <x:c r="J38" s="14" t="str"/>
      <x:c r="K38" s="13" t="str">
        <x:v>OF001</x:v>
      </x:c>
      <x:c r="L38" s="14" t="str">
        <x:v>Microsoft 365 Business Standard</x:v>
      </x:c>
    </x:row>
    <x:row r="39" ht="21" customHeight="1">
      <x:c r="A39" s="13" t="n">
        <x:v>35</x:v>
      </x:c>
      <x:c r="B39" s="13" t="str">
        <x:v>TA966</x:v>
      </x:c>
      <x:c r="C39" s="14" t="str">
        <x:v>สุปราณี จันทสูตร</x:v>
      </x:c>
      <x:c r="D39" s="14" t="str">
        <x:v>Supranee Chantasoot</x:v>
      </x:c>
      <x:c r="E39" s="14" t="str">
        <x:v>จอย</x:v>
      </x:c>
      <x:c r="F39" s="14" t="str">
        <x:v>supranee_ch@thanulux.com</x:v>
      </x:c>
      <x:c r="G39" s="13" t="str">
        <x:v>3OS03</x:v>
      </x:c>
      <x:c r="H39" s="14" t="str">
        <x:v>ฝ่ายจัดซื้อและ Sourcing.</x:v>
      </x:c>
      <x:c r="I39" s="13" t="str">
        <x:v>3OS03</x:v>
      </x:c>
      <x:c r="J39" s="14" t="str"/>
      <x:c r="K39" s="13" t="str">
        <x:v>OF001</x:v>
      </x:c>
      <x:c r="L39" s="14" t="str">
        <x:v>Microsoft 365 Business Standard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a68e5e4b2a64724"/>
  </x:tableParts>
</x:worksheet>
</file>